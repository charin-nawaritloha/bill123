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9.xml" ContentType="application/vnd.ms-excel.controlproperties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8280" yWindow="3270" windowWidth="13995" windowHeight="7725" activeTab="3"/>
  </bookViews>
  <sheets>
    <sheet name="สร้างรายการ" sheetId="1" r:id="rId1"/>
    <sheet name="พิมพ์-ยกเลิกรายการ" sheetId="9" r:id="rId2"/>
    <sheet name="paper" sheetId="10" r:id="rId3"/>
    <sheet name="config" sheetId="6" r:id="rId4"/>
    <sheet name="product" sheetId="11" state="veryHidden" r:id="rId5"/>
    <sheet name="MessageText" sheetId="12" state="hidden" r:id="rId6"/>
  </sheets>
  <functionGroups builtInGroupCount="17"/>
  <definedNames>
    <definedName name="BEFORE_VAT" localSheetId="0">สร้างรายการ!$I$1</definedName>
    <definedName name="bill_canceled.en" localSheetId="5" hidden="1">MessageText!$C$20</definedName>
    <definedName name="bill_canceled.th" localSheetId="5" hidden="1">MessageText!$D$20</definedName>
    <definedName name="Cancel.en" localSheetId="5" hidden="1">MessageText!$C$7</definedName>
    <definedName name="Cancel.th" localSheetId="5" hidden="1">MessageText!$D$7</definedName>
    <definedName name="cancel_bill_confirm.en" localSheetId="5" hidden="1">MessageText!$C$23</definedName>
    <definedName name="cancel_bill_confirm.th" localSheetId="5" hidden="1">MessageText!$D$23</definedName>
    <definedName name="cancel_ok.en" localSheetId="5" hidden="1">MessageText!$C$24</definedName>
    <definedName name="cancel_ok.th" localSheetId="5" hidden="1">MessageText!$D$24</definedName>
    <definedName name="configAges">config!$A$2:$A$11</definedName>
    <definedName name="configAgeSelect">config!$F$1</definedName>
    <definedName name="configBeep">config!$B$10</definedName>
    <definedName name="configCalVAT">config!$B$4</definedName>
    <definedName name="configDB">config!$A$16</definedName>
    <definedName name="configPrintDate">config!$B$7</definedName>
    <definedName name="configSexSelect">config!$E$1</definedName>
    <definedName name="configVAT">config!$B$2</definedName>
    <definedName name="connect_database_error.en" localSheetId="5" hidden="1">MessageText!$C$10</definedName>
    <definedName name="connect_database_error.th" localSheetId="5" hidden="1">MessageText!$D$10</definedName>
    <definedName name="formCurrentID" localSheetId="0">TableBill[รหัสสินค้า]</definedName>
    <definedName name="formCurrentNo" localSheetId="0">TableBill['#]</definedName>
    <definedName name="formCurrentQty" localSheetId="0">TableBill[จำนวน]</definedName>
    <definedName name="formInputBillId" localSheetId="1">'พิมพ์-ยกเลิกรายการ'!$D$2</definedName>
    <definedName name="formInputCustomer" localSheetId="0">สร้างรายการ!$E$2</definedName>
    <definedName name="formInputID" localSheetId="0">สร้างรายการ!$E$4</definedName>
    <definedName name="formInputPayment" localSheetId="0">สร้างรายการ!$I$6</definedName>
    <definedName name="formInputQty" localSheetId="0">สร้างรายการ!$G$4</definedName>
    <definedName name="GRAND_TOTAL" localSheetId="0">สร้างรายการ!$I$4</definedName>
    <definedName name="h_age" localSheetId="1">'พิมพ์-ยกเลิกรายการ'!$D$7</definedName>
    <definedName name="h_beforeVat" localSheetId="1">'พิมพ์-ยกเลิกรายการ'!$G$4</definedName>
    <definedName name="h_buyDate" localSheetId="1">'พิมพ์-ยกเลิกรายการ'!$D$4</definedName>
    <definedName name="h_buyer" localSheetId="1">'พิมพ์-ยกเลิกรายการ'!$D$5</definedName>
    <definedName name="h_sex" localSheetId="1">'พิมพ์-ยกเลิกรายการ'!$D$6</definedName>
    <definedName name="h_total" localSheetId="1">'พิมพ์-ยกเลิกรายการ'!$G$7</definedName>
    <definedName name="h_vat" localSheetId="1">'พิมพ์-ยกเลิกรายการ'!$G$5</definedName>
    <definedName name="missing_bill_id.en" localSheetId="5" hidden="1">MessageText!$C$19</definedName>
    <definedName name="missing_bill_id.th" localSheetId="5" hidden="1">MessageText!$D$19</definedName>
    <definedName name="missing_cancel_bill_id.en" localSheetId="5" hidden="1">MessageText!$C$22</definedName>
    <definedName name="missing_cancel_bill_id.th" localSheetId="5" hidden="1">MessageText!$D$22</definedName>
    <definedName name="missing_cost.en" localSheetId="5" hidden="1">MessageText!$C$14</definedName>
    <definedName name="missing_cost.th" localSheetId="5" hidden="1">MessageText!$D$14</definedName>
    <definedName name="missing_paper_item.en" localSheetId="5" hidden="1">MessageText!$C$28</definedName>
    <definedName name="missing_paper_item.th" localSheetId="5" hidden="1">MessageText!$D$28</definedName>
    <definedName name="missing_print_bill_id.en" localSheetId="5" hidden="1">MessageText!$C$29</definedName>
    <definedName name="missing_print_bill_id.th" localSheetId="5" hidden="1">MessageText!$D$29</definedName>
    <definedName name="No.en" localSheetId="5" hidden="1">MessageText!$C$5</definedName>
    <definedName name="No.th" localSheetId="5" hidden="1">MessageText!$D$5</definedName>
    <definedName name="no_sell_item.en" localSheetId="5" hidden="1">MessageText!$C$15</definedName>
    <definedName name="no_sell_item.th" localSheetId="5" hidden="1">MessageText!$D$15</definedName>
    <definedName name="not_found_bill.en" localSheetId="5" hidden="1">MessageText!$C$21</definedName>
    <definedName name="not_found_bill.th" localSheetId="5" hidden="1">MessageText!$D$21</definedName>
    <definedName name="not_found_product.en" localSheetId="5" hidden="1">MessageText!$C$11</definedName>
    <definedName name="not_found_product.th" localSheetId="5" hidden="1">MessageText!$D$11</definedName>
    <definedName name="OK.en" localSheetId="5" hidden="1">MessageText!$C$6</definedName>
    <definedName name="OK.th" localSheetId="5" hidden="1">MessageText!$D$6</definedName>
    <definedName name="pay_less.en" localSheetId="5" hidden="1">MessageText!$C$18</definedName>
    <definedName name="pay_less.th" localSheetId="5" hidden="1">MessageText!$D$18</definedName>
    <definedName name="_xlnm.Print_Area" localSheetId="2">paper!$B:$F</definedName>
    <definedName name="print_copy.en" localSheetId="5" hidden="1">MessageText!$C$26</definedName>
    <definedName name="print_copy.th" localSheetId="5" hidden="1">MessageText!$D$26</definedName>
    <definedName name="print_original.en" localSheetId="5" hidden="1">MessageText!$C$27</definedName>
    <definedName name="print_original.th" localSheetId="5" hidden="1">MessageText!$D$27</definedName>
    <definedName name="_xlnm.Print_Titles" localSheetId="2">paper!$1:$9</definedName>
    <definedName name="question_cancel.en" localSheetId="5" hidden="1">MessageText!$C$17</definedName>
    <definedName name="question_cancel.th" localSheetId="5" hidden="1">MessageText!$D$17</definedName>
    <definedName name="sex_error.en" localSheetId="5" hidden="1">MessageText!$C$13</definedName>
    <definedName name="sex_error.th" localSheetId="5" hidden="1">MessageText!$D$13</definedName>
    <definedName name="sql_error.en" localSheetId="5" hidden="1">MessageText!$C$16</definedName>
    <definedName name="sql_error.th" localSheetId="5" hidden="1">MessageText!$D$16</definedName>
    <definedName name="table_bill_error.en" localSheetId="5" hidden="1">MessageText!$C$12</definedName>
    <definedName name="table_bill_error.th" localSheetId="5" hidden="1">MessageText!$D$12</definedName>
    <definedName name="Title.en" localSheetId="5" hidden="1">MessageText!$C$8</definedName>
    <definedName name="Title.th" localSheetId="5" hidden="1">MessageText!$D$8</definedName>
    <definedName name="VAT" localSheetId="0">สร้างรายการ!$I$2</definedName>
    <definedName name="Yes.en" localSheetId="5" hidden="1">MessageText!$C$4</definedName>
    <definedName name="Yes.th" localSheetId="5" hidden="1">MessageText!$D$4</definedName>
  </definedNames>
  <calcPr calcId="145621"/>
</workbook>
</file>

<file path=xl/calcChain.xml><?xml version="1.0" encoding="utf-8"?>
<calcChain xmlns="http://schemas.openxmlformats.org/spreadsheetml/2006/main">
  <c r="F18" i="1" l="1"/>
  <c r="H18" i="1"/>
  <c r="I18" i="1"/>
  <c r="F17" i="1"/>
  <c r="H17" i="1"/>
  <c r="I17" i="1"/>
  <c r="F16" i="1"/>
  <c r="H16" i="1"/>
  <c r="I16" i="1"/>
  <c r="F15" i="1"/>
  <c r="H15" i="1"/>
  <c r="I15" i="1"/>
  <c r="F14" i="1"/>
  <c r="H14" i="1"/>
  <c r="I14" i="1"/>
  <c r="F13" i="1"/>
  <c r="H13" i="1"/>
  <c r="I13" i="1"/>
  <c r="F12" i="1"/>
  <c r="H12" i="1"/>
  <c r="I12" i="1"/>
  <c r="F11" i="1"/>
  <c r="H11" i="1"/>
  <c r="I11" i="1"/>
  <c r="F10" i="1"/>
  <c r="H10" i="1"/>
  <c r="I10" i="1"/>
  <c r="H9" i="1" l="1"/>
  <c r="F9" i="1"/>
  <c r="I9" i="1" l="1"/>
  <c r="E1" i="1"/>
  <c r="I1" i="1" l="1"/>
  <c r="I2" i="1" l="1"/>
  <c r="I4" i="1" s="1"/>
</calcChain>
</file>

<file path=xl/comments1.xml><?xml version="1.0" encoding="utf-8"?>
<comments xmlns="http://schemas.openxmlformats.org/spreadsheetml/2006/main">
  <authors>
    <author>Charin Nawaritloha</author>
  </authors>
  <commentList>
    <comment ref="I6" authorId="0">
      <text>
        <r>
          <rPr>
            <b/>
            <sz val="9"/>
            <color indexed="81"/>
            <rFont val="Tahoma"/>
            <family val="2"/>
          </rPr>
          <t>ใส่ 0 หากลูกค้าจ่ายพอดี</t>
        </r>
      </text>
    </comment>
  </commentList>
</comments>
</file>

<file path=xl/comments2.xml><?xml version="1.0" encoding="utf-8"?>
<comments xmlns="http://schemas.openxmlformats.org/spreadsheetml/2006/main">
  <authors>
    <author>Charin</author>
    <author>Charin Nawaritloha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Charin:</t>
        </r>
        <r>
          <rPr>
            <sz val="8"/>
            <color indexed="81"/>
            <rFont val="Tahoma"/>
            <family val="2"/>
          </rPr>
          <t xml:space="preserve">
กำหนดชื่อช่วงเป็น </t>
        </r>
        <r>
          <rPr>
            <b/>
            <sz val="8"/>
            <color indexed="81"/>
            <rFont val="Tahoma"/>
            <family val="2"/>
          </rPr>
          <t>configAges</t>
        </r>
        <r>
          <rPr>
            <sz val="8"/>
            <color indexed="81"/>
            <rFont val="Tahoma"/>
            <family val="2"/>
          </rPr>
          <t xml:space="preserve"> เพื่อใช้ในการเลือกใน combo box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>Charin:</t>
        </r>
        <r>
          <rPr>
            <sz val="8"/>
            <color indexed="81"/>
            <rFont val="Tahoma"/>
            <family val="2"/>
          </rPr>
          <t xml:space="preserve">
เชื่อมกับ Radio button ที่เลือกข้อมูลลูกค้า ใช้เก็บข้อมูล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Charin:</t>
        </r>
        <r>
          <rPr>
            <sz val="8"/>
            <color indexed="81"/>
            <rFont val="Tahoma"/>
            <family val="2"/>
          </rPr>
          <t xml:space="preserve">
เพศ
</t>
        </r>
        <r>
          <rPr>
            <b/>
            <sz val="8"/>
            <color indexed="81"/>
            <rFont val="Tahoma"/>
            <family val="2"/>
          </rPr>
          <t>1</t>
        </r>
        <r>
          <rPr>
            <sz val="8"/>
            <color indexed="81"/>
            <rFont val="Tahoma"/>
            <family val="2"/>
          </rPr>
          <t xml:space="preserve"> ชาย
</t>
        </r>
        <r>
          <rPr>
            <b/>
            <sz val="8"/>
            <color indexed="81"/>
            <rFont val="Tahoma"/>
            <family val="2"/>
          </rPr>
          <t>2</t>
        </r>
        <r>
          <rPr>
            <sz val="8"/>
            <color indexed="81"/>
            <rFont val="Tahoma"/>
            <family val="2"/>
          </rPr>
          <t xml:space="preserve"> หญิง
</t>
        </r>
        <r>
          <rPr>
            <b/>
            <sz val="8"/>
            <color indexed="81"/>
            <rFont val="Tahoma"/>
            <family val="2"/>
          </rPr>
          <t>3</t>
        </r>
        <r>
          <rPr>
            <sz val="8"/>
            <color indexed="81"/>
            <rFont val="Tahoma"/>
            <family val="2"/>
          </rPr>
          <t xml:space="preserve"> ไม่ระบุ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>Charin:</t>
        </r>
        <r>
          <rPr>
            <sz val="8"/>
            <color indexed="81"/>
            <rFont val="Tahoma"/>
            <family val="2"/>
          </rPr>
          <t xml:space="preserve">
อายุ 
ตามรายการใน </t>
        </r>
        <r>
          <rPr>
            <b/>
            <sz val="8"/>
            <color indexed="81"/>
            <rFont val="Tahoma"/>
            <family val="2"/>
          </rPr>
          <t>configAges</t>
        </r>
      </text>
    </comment>
    <comment ref="B4" authorId="0">
      <text>
        <r>
          <rPr>
            <b/>
            <sz val="8"/>
            <color indexed="81"/>
            <rFont val="Tahoma"/>
            <family val="2"/>
          </rPr>
          <t>วิธีคิดภาษี: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1</t>
        </r>
        <r>
          <rPr>
            <sz val="8"/>
            <color indexed="81"/>
            <rFont val="Tahoma"/>
            <family val="2"/>
          </rPr>
          <t xml:space="preserve"> อยู่ในราคาขาย
</t>
        </r>
        <r>
          <rPr>
            <b/>
            <sz val="8"/>
            <color indexed="81"/>
            <rFont val="Tahoma"/>
            <family val="2"/>
          </rPr>
          <t>2</t>
        </r>
        <r>
          <rPr>
            <sz val="8"/>
            <color indexed="81"/>
            <rFont val="Tahoma"/>
            <family val="2"/>
          </rPr>
          <t xml:space="preserve"> คิดเพิ่มจากราคาขาย</t>
        </r>
      </text>
    </comment>
    <comment ref="B7" authorId="1">
      <text>
        <r>
          <rPr>
            <sz val="9"/>
            <color indexed="81"/>
            <rFont val="Tahoma"/>
            <family val="2"/>
          </rPr>
          <t>dd = วัน 1-31
mm = เดือน 1-12
yyyy = ปื ค.ศ./พ.ศ.
** อ้างอิงจากรูปแบบวันที่บน Windows</t>
        </r>
      </text>
    </comment>
  </commentList>
</comments>
</file>

<file path=xl/sharedStrings.xml><?xml version="1.0" encoding="utf-8"?>
<sst xmlns="http://schemas.openxmlformats.org/spreadsheetml/2006/main" count="231" uniqueCount="200">
  <si>
    <t>วันที่</t>
  </si>
  <si>
    <t>ผู้ซื้อ</t>
  </si>
  <si>
    <t>ข้อมูลผู้ซื้อ</t>
  </si>
  <si>
    <t>รหัสสินค้า</t>
  </si>
  <si>
    <t>รายละเอียด</t>
  </si>
  <si>
    <t>จำนวน</t>
  </si>
  <si>
    <t>อายุ</t>
  </si>
  <si>
    <t>10 - 20 ปี</t>
  </si>
  <si>
    <t>20 - 30 ปี</t>
  </si>
  <si>
    <t>30 - 40 ปี</t>
  </si>
  <si>
    <t>มากกว่า 40 ปี</t>
  </si>
  <si>
    <t>น้อยกว่า 10 ปี</t>
  </si>
  <si>
    <t>ป้อนรหัสสินค้า</t>
  </si>
  <si>
    <t>ราคา</t>
  </si>
  <si>
    <t>รวม</t>
  </si>
  <si>
    <t>ภาษีมูลค่าเพิ่ม</t>
  </si>
  <si>
    <t>วิธีคิดภาษี</t>
  </si>
  <si>
    <t>ไม่ระบุอายุ</t>
  </si>
  <si>
    <t>Vat</t>
  </si>
  <si>
    <t>รวมทั้งสิ้น</t>
  </si>
  <si>
    <t>บิล123</t>
  </si>
  <si>
    <t>เกี่ยวกับ</t>
  </si>
  <si>
    <t>พัฒนาโดย</t>
  </si>
  <si>
    <t>Charin Nawaritloha</t>
  </si>
  <si>
    <t>บล๊อก</t>
  </si>
  <si>
    <t>Facebook</t>
  </si>
  <si>
    <t>#</t>
  </si>
  <si>
    <t>https://fb.com/msg/made2order.duck</t>
  </si>
  <si>
    <t>ไฟล์ Database</t>
  </si>
  <si>
    <t>bill123.mdb</t>
  </si>
  <si>
    <t>.</t>
  </si>
  <si>
    <t>Rebuild Text</t>
  </si>
  <si>
    <t>Title</t>
  </si>
  <si>
    <t>en</t>
  </si>
  <si>
    <t>th</t>
  </si>
  <si>
    <t>Yes</t>
  </si>
  <si>
    <t>ใช่</t>
  </si>
  <si>
    <t>No</t>
  </si>
  <si>
    <t>ไม่ใช่</t>
  </si>
  <si>
    <t>OK</t>
  </si>
  <si>
    <t>ตกลง</t>
  </si>
  <si>
    <t>Cancel</t>
  </si>
  <si>
    <t>ยกเลิก</t>
  </si>
  <si>
    <t>Application Name</t>
  </si>
  <si>
    <t>connect_database_error</t>
  </si>
  <si>
    <t>บิล123 (2.5.18)</t>
  </si>
  <si>
    <t>ไม่สามารถเชื่อมต่อฐานข้อมูลเพื่อดึงข้อมูลสินค้ามาใช้งานได้
โปรดตรวจสอบไฟล์ Database ใน Config ว่ามีอยู่จริงและไฟล์ไม่เสียหาย
ชื่อไฟล์: {1}
ปัญหาที่พบ: {2}</t>
  </si>
  <si>
    <t>itemId</t>
  </si>
  <si>
    <t>title</t>
  </si>
  <si>
    <t>price</t>
  </si>
  <si>
    <t>1234567890</t>
  </si>
  <si>
    <t>ราคาสินค้า</t>
  </si>
  <si>
    <t>cost</t>
  </si>
  <si>
    <t>not_found_product</t>
  </si>
  <si>
    <t>ไม่พบรหัสสินค้า {1} ในฐานข้อมูล
โปรดตรวจสอบความถูกต้องอีกครั้ง</t>
  </si>
  <si>
    <t>สินค้าตัวอย่าง</t>
  </si>
  <si>
    <t>31321321313</t>
  </si>
  <si>
    <t>6165165165165161</t>
  </si>
  <si>
    <t>4802471006</t>
  </si>
  <si>
    <t xml:space="preserve">OPPOP F7 </t>
  </si>
  <si>
    <t>4802471007</t>
  </si>
  <si>
    <t>6944284617735</t>
  </si>
  <si>
    <t xml:space="preserve">OPPOP A57 [CPH1701] </t>
  </si>
  <si>
    <t>6944284619005</t>
  </si>
  <si>
    <t xml:space="preserve">OPPOP A37 [A37FW] </t>
  </si>
  <si>
    <t>6944284621336</t>
  </si>
  <si>
    <t xml:space="preserve">OPPOP R9S PRO [CPH1613] </t>
  </si>
  <si>
    <t>6944284622098</t>
  </si>
  <si>
    <t xml:space="preserve">OPPOP F5 YOUTH [CPH1725] </t>
  </si>
  <si>
    <t>6944284622586</t>
  </si>
  <si>
    <t xml:space="preserve">OPPOP F5 6GB [CPH1727] </t>
  </si>
  <si>
    <t>6944284623545</t>
  </si>
  <si>
    <t xml:space="preserve">OPPOP A71 2018 [CPH1801] </t>
  </si>
  <si>
    <t>6944284623941</t>
  </si>
  <si>
    <t xml:space="preserve">OPPOP A83 [CPH1729] </t>
  </si>
  <si>
    <t>6944284624931</t>
  </si>
  <si>
    <t xml:space="preserve">OPPOP F7 CPH1819 </t>
  </si>
  <si>
    <t>8802510263</t>
  </si>
  <si>
    <t>8802510264</t>
  </si>
  <si>
    <t>8802510265</t>
  </si>
  <si>
    <t xml:space="preserve">OPPOP A77 [CPH1715] </t>
  </si>
  <si>
    <t>8802510267</t>
  </si>
  <si>
    <t xml:space="preserve">OPPOP R9S [CPH1607] </t>
  </si>
  <si>
    <t>8802510280</t>
  </si>
  <si>
    <t xml:space="preserve">OPPOP F5 [CPH1723] </t>
  </si>
  <si>
    <t>8802510281</t>
  </si>
  <si>
    <t>8802510283</t>
  </si>
  <si>
    <t>8802510284</t>
  </si>
  <si>
    <t>8802510285</t>
  </si>
  <si>
    <t>8802510289</t>
  </si>
  <si>
    <t>PCGCPST0021</t>
  </si>
  <si>
    <t xml:space="preserve">ACCER ASPIRE E5-475G-332Q/T021 </t>
  </si>
  <si>
    <t>PCGFMST0008</t>
  </si>
  <si>
    <t xml:space="preserve">ACCER ASPIRE F5-573G-73YR/T008 </t>
  </si>
  <si>
    <t>PCGNLST0001</t>
  </si>
  <si>
    <t xml:space="preserve">ACCER SWIFT SF113-31-P05F </t>
  </si>
  <si>
    <t>PCGNNST0001</t>
  </si>
  <si>
    <t xml:space="preserve">ACCER SWIFT SF113-31-P1TS </t>
  </si>
  <si>
    <t>PCGNNST0005</t>
  </si>
  <si>
    <t xml:space="preserve">ACCER SWIFT SF113-31-P5RY </t>
  </si>
  <si>
    <t>PCGNVST0006</t>
  </si>
  <si>
    <t xml:space="preserve">ACCER ASPIRE A315-21-28HE </t>
  </si>
  <si>
    <t>PCGNVST0007</t>
  </si>
  <si>
    <t xml:space="preserve">ACCER ASPIRE A315-21-442V </t>
  </si>
  <si>
    <t>PCGPSST0002</t>
  </si>
  <si>
    <t xml:space="preserve">ACCER SWIFT SF113-31-P85H </t>
  </si>
  <si>
    <t>PCGPSST0006</t>
  </si>
  <si>
    <t xml:space="preserve">ACCER SWIFT SF113-31-P55J </t>
  </si>
  <si>
    <t>PCGQGST0001</t>
  </si>
  <si>
    <t xml:space="preserve">ACCER SWIFT 3 SF314-52-51G2 </t>
  </si>
  <si>
    <t>PCGQGST0005</t>
  </si>
  <si>
    <t xml:space="preserve">ACCER SWIFT SF314-52-538U </t>
  </si>
  <si>
    <t>PCGQJST0001</t>
  </si>
  <si>
    <t xml:space="preserve">ACCER SWIFT SF314-52-59WS </t>
  </si>
  <si>
    <t>PCGQLST0005</t>
  </si>
  <si>
    <t xml:space="preserve">ACCER SWIFT SF314-52-52EW </t>
  </si>
  <si>
    <t>PCGQQST0004</t>
  </si>
  <si>
    <t xml:space="preserve">ACCER SWIFT SF314-52G-52A2 </t>
  </si>
  <si>
    <t>PCGQUST0002</t>
  </si>
  <si>
    <t xml:space="preserve">ACCER SWIFT SF314-52-5406 </t>
  </si>
  <si>
    <t>PCGT1ST0005</t>
  </si>
  <si>
    <t xml:space="preserve">ACCER ASPIRE A515-51G-51YY </t>
  </si>
  <si>
    <t>PCGT1ST0006</t>
  </si>
  <si>
    <t xml:space="preserve">ACCER ASPIRE A515-51G-560N </t>
  </si>
  <si>
    <t>PCGTCST0003</t>
  </si>
  <si>
    <t xml:space="preserve">ACCER ASPIRE A515-51G-86QR </t>
  </si>
  <si>
    <t>PCGTCST0004</t>
  </si>
  <si>
    <t xml:space="preserve">ACCER ASPIRE A515-51G-84TX </t>
  </si>
  <si>
    <t>PCGTMST0004</t>
  </si>
  <si>
    <t xml:space="preserve">ACCER SWIFT SF514-52T-57ZG </t>
  </si>
  <si>
    <t>PCGU4ST0003</t>
  </si>
  <si>
    <t xml:space="preserve">ACCER SWIFT 5 SF514-52T-53PJ </t>
  </si>
  <si>
    <t>PCGV7ST0014</t>
  </si>
  <si>
    <t xml:space="preserve">ACCER SWIFT 3 SF315-41-R18N </t>
  </si>
  <si>
    <t>PCGV7ST0017</t>
  </si>
  <si>
    <t xml:space="preserve">ACCER SWIFT SF315-41-R7JD </t>
  </si>
  <si>
    <t>PCGZ6ST0001</t>
  </si>
  <si>
    <t xml:space="preserve">ACCER AVENGER SF314-53G-50UE </t>
  </si>
  <si>
    <t>table_bill_error</t>
  </si>
  <si>
    <t>พบข้อมูลในบิลในตารางมีปัญหา ค่าไม่ถูกต้อง 
โปรดตรวจสอบรหัสสินค้าและจำนวนอีกครั้ง</t>
  </si>
  <si>
    <t>sex_error</t>
  </si>
  <si>
    <t>ตัวเลือกเพศของลูกค้าผิดพลาด ไม่สามารถบันทึกรายการได้</t>
  </si>
  <si>
    <t>missing_cost</t>
  </si>
  <si>
    <t>เกิดความผิดพลาด ไม่สามารถค้นหาต้นทุนของสินค้าได้
รหัส: {1}</t>
  </si>
  <si>
    <t>no_sell_item</t>
  </si>
  <si>
    <t>ไม่พบรายการขาย โปรดตรวจสอบข้อมูลอีกครั้ง</t>
  </si>
  <si>
    <t>sql_error</t>
  </si>
  <si>
    <t>คำสั่ง SQL ผิดพลาด ไม่สามารถประมวลผลต่อได้
ปัญหาที่พบ:
{1}</t>
  </si>
  <si>
    <t>บริษัท บิล 123 จำกัด (สำนักงานใหญ่)</t>
  </si>
  <si>
    <t>TAX ID: 1234567890123 (VAT Included)</t>
  </si>
  <si>
    <t>วันที่: $billDate</t>
  </si>
  <si>
    <t>ใบเสร็จรับเงิน / ใบกำกับภาษีอย่างย่อ</t>
  </si>
  <si>
    <t>$beforeVAT</t>
  </si>
  <si>
    <t>$VAT</t>
  </si>
  <si>
    <t>$total</t>
  </si>
  <si>
    <t>VAT</t>
  </si>
  <si>
    <t>%itemID</t>
  </si>
  <si>
    <t>%title</t>
  </si>
  <si>
    <t>%qty</t>
  </si>
  <si>
    <t>%price</t>
  </si>
  <si>
    <t>%grandTotal</t>
  </si>
  <si>
    <t>a23456789012345</t>
  </si>
  <si>
    <t>%</t>
  </si>
  <si>
    <t>ชำระเงิน</t>
  </si>
  <si>
    <t>question_cancel</t>
  </si>
  <si>
    <t>ต้องการยกเลิกรายการบิลปัจจุบันทั้งหมดหรือไม่</t>
  </si>
  <si>
    <t>ระบุหมายเลขบิล</t>
  </si>
  <si>
    <t>เพศ</t>
  </si>
  <si>
    <t>pay_less</t>
  </si>
  <si>
    <t>จำนวนเงินที่ชำระ น้อยกว่า มูลค่าสินค้า โปรดตรวจสอบอีกครั้ง</t>
  </si>
  <si>
    <t>missing_bill_id</t>
  </si>
  <si>
    <t>โปรดระบุหมายเลขบิล</t>
  </si>
  <si>
    <t>bill_canceled</t>
  </si>
  <si>
    <t>บิลหมายเลข {1} ถูกยกเลิกไปแล้ว
โปรดตรวจสอบหมายเลขบิลอีกครั้ง</t>
  </si>
  <si>
    <t>not_found_bill</t>
  </si>
  <si>
    <t>ไม่พบบิลหมายเลข {1} ในฐานข้อมูล
โปรดตรวจสอบหมายเลขอีกครั้ง</t>
  </si>
  <si>
    <t>missing_cancel_bill_id</t>
  </si>
  <si>
    <t>โปรดระบุหมายเลขบิลที่ต้องการยกเลิก</t>
  </si>
  <si>
    <t>cancel_bill_confirm</t>
  </si>
  <si>
    <t>cancel_ok</t>
  </si>
  <si>
    <t>ทำการยกเลิกบิลหมายเลข {1} เรียบร้อยแล้ว</t>
  </si>
  <si>
    <t>ต้องการยกเลิกรายการขายบิลหายเลข {1} หรือไม่
โปรดทราบ หากยกเลิกไปแล้วจะไม่สามารถกลับมาแก้ไขได้อีก</t>
  </si>
  <si>
    <t>$copy</t>
  </si>
  <si>
    <t>รูปแบบวันที่ในใบเสร็จ</t>
  </si>
  <si>
    <t>dd/mm/yyyy</t>
  </si>
  <si>
    <t>print_copy</t>
  </si>
  <si>
    <t>(สำเนา)</t>
  </si>
  <si>
    <t>print_original</t>
  </si>
  <si>
    <t>(ต้นฉบับ)</t>
  </si>
  <si>
    <t>missing_paper_item</t>
  </si>
  <si>
    <t>ไม่สามารถระบุตำแหน่งของ % และ # ที่จะใช้สร้างรายการสินค้าในบิลได้
โปรดตรวจสอบว่า % และ # อยู่ในคอลัมน์ A หรือไม่ แล้วลองพิมพ์ใหม่อีกครั้ง</t>
  </si>
  <si>
    <t>missing_print_bill_id</t>
  </si>
  <si>
    <t>โปรดระบุหมายเลขบิลที่ต้องการพิมพ์</t>
  </si>
  <si>
    <t xml:space="preserve">No.: </t>
  </si>
  <si>
    <t>$billNo</t>
  </si>
  <si>
    <t>เปิด/ปิด เสียงเตือน</t>
  </si>
  <si>
    <t>1.เปิดเสียง</t>
  </si>
  <si>
    <t>https://charin-nawaritloha.github.io/excel-vba-notes/</t>
  </si>
  <si>
    <t>https://line.me/R/ti/p/~pure88</t>
  </si>
  <si>
    <t>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</si>
</sst>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1870000]d/mm/yyyy\ h:mm\ &quot;น.&quot;;@"/>
    <numFmt numFmtId="165" formatCode="#,##0.00;[Red]\(#,##0.00\);_(* &quot;-&quot;_);_(@_)"/>
  </numFmts>
  <fonts count="28" x14ac:knownFonts="1">
    <font>
      <sz val="10"/>
      <color theme="1"/>
      <name val="Leelawadee"/>
      <family val="2"/>
    </font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10"/>
      <color theme="10"/>
      <name val="Tahoma"/>
      <family val="2"/>
    </font>
    <font>
      <b/>
      <sz val="10"/>
      <color theme="1"/>
      <name val="Leelawadee"/>
      <family val="2"/>
    </font>
    <font>
      <sz val="10"/>
      <color theme="1"/>
      <name val="Leelawadee"/>
      <family val="2"/>
    </font>
    <font>
      <sz val="10"/>
      <name val="Leelawadee"/>
      <family val="2"/>
    </font>
    <font>
      <sz val="8"/>
      <color rgb="FF000000"/>
      <name val="Tahoma"/>
      <family val="2"/>
    </font>
    <font>
      <sz val="10"/>
      <color rgb="FFFF0000"/>
      <name val="Leelawadee"/>
      <family val="2"/>
    </font>
    <font>
      <b/>
      <sz val="10"/>
      <color rgb="FFFF0000"/>
      <name val="Leelawadee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Tahoma"/>
      <family val="2"/>
    </font>
    <font>
      <b/>
      <sz val="11"/>
      <color rgb="FF0000FF"/>
      <name val="Tahoma"/>
      <family val="2"/>
    </font>
    <font>
      <b/>
      <sz val="16"/>
      <color theme="1"/>
      <name val="Leelawadee"/>
      <family val="2"/>
    </font>
    <font>
      <b/>
      <sz val="14"/>
      <color theme="1"/>
      <name val="Leelawadee"/>
      <family val="2"/>
    </font>
    <font>
      <b/>
      <sz val="14"/>
      <name val="Leelawadee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Leelawadee"/>
      <family val="2"/>
    </font>
    <font>
      <sz val="11"/>
      <color theme="9" tint="-0.249977111117893"/>
      <name val="Leelawadee"/>
      <family val="2"/>
    </font>
    <font>
      <sz val="11"/>
      <color rgb="FF00B050"/>
      <name val="Leelawadee"/>
      <family val="2"/>
    </font>
    <font>
      <b/>
      <sz val="11"/>
      <color rgb="FFC00000"/>
      <name val="Leelawadee"/>
      <family val="2"/>
    </font>
    <font>
      <sz val="11"/>
      <color rgb="FF0070C0"/>
      <name val="Leelawadee"/>
      <family val="2"/>
    </font>
    <font>
      <sz val="11"/>
      <color rgb="FF00B0F0"/>
      <name val="Leelawadee"/>
      <family val="2"/>
    </font>
    <font>
      <u/>
      <sz val="10"/>
      <color theme="10"/>
      <name val="Leelawadee"/>
      <family val="2"/>
    </font>
    <font>
      <sz val="10"/>
      <color rgb="FF4374B7"/>
      <name val="Leelawadee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theme="6" tint="0.59999389629810485"/>
      </patternFill>
    </fill>
  </fills>
  <borders count="14">
    <border>
      <left/>
      <right/>
      <top/>
      <bottom/>
      <diagonal/>
    </border>
    <border>
      <left style="medium">
        <color theme="5" tint="0.39994506668294322"/>
      </left>
      <right style="medium">
        <color theme="5" tint="0.39991454817346722"/>
      </right>
      <top style="medium">
        <color theme="5" tint="0.39994506668294322"/>
      </top>
      <bottom style="medium">
        <color theme="5" tint="0.3999450666829432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/>
  </cellStyleXfs>
  <cellXfs count="77">
    <xf numFmtId="0" fontId="0" fillId="0" borderId="0" xfId="0"/>
    <xf numFmtId="0" fontId="5" fillId="2" borderId="0" xfId="0" applyFont="1" applyFill="1" applyAlignment="1" applyProtection="1">
      <alignment vertical="center"/>
    </xf>
    <xf numFmtId="0" fontId="6" fillId="2" borderId="0" xfId="0" applyFont="1" applyFill="1" applyAlignment="1" applyProtection="1">
      <alignment vertical="top"/>
    </xf>
    <xf numFmtId="0" fontId="5" fillId="2" borderId="0" xfId="0" applyFont="1" applyFill="1" applyAlignment="1" applyProtection="1">
      <alignment horizontal="right" vertical="top"/>
    </xf>
    <xf numFmtId="0" fontId="6" fillId="2" borderId="0" xfId="0" applyFont="1" applyFill="1" applyBorder="1" applyAlignment="1" applyProtection="1">
      <alignment vertical="top"/>
    </xf>
    <xf numFmtId="0" fontId="6" fillId="2" borderId="0" xfId="0" applyFont="1" applyFill="1" applyAlignment="1" applyProtection="1">
      <alignment vertical="center"/>
    </xf>
    <xf numFmtId="0" fontId="5" fillId="0" borderId="0" xfId="0" applyFont="1" applyFill="1" applyBorder="1" applyAlignment="1" applyProtection="1">
      <alignment horizontal="right" vertical="top"/>
    </xf>
    <xf numFmtId="0" fontId="7" fillId="0" borderId="0" xfId="0" applyFont="1" applyFill="1" applyBorder="1" applyAlignment="1" applyProtection="1">
      <alignment horizontal="right" vertical="top"/>
    </xf>
    <xf numFmtId="164" fontId="6" fillId="2" borderId="0" xfId="0" applyNumberFormat="1" applyFont="1" applyFill="1" applyBorder="1" applyAlignment="1" applyProtection="1">
      <alignment horizontal="left" vertical="top"/>
    </xf>
    <xf numFmtId="0" fontId="0" fillId="0" borderId="0" xfId="0" applyAlignment="1">
      <alignment horizontal="right"/>
    </xf>
    <xf numFmtId="0" fontId="5" fillId="2" borderId="0" xfId="0" applyFont="1" applyFill="1" applyAlignment="1" applyProtection="1">
      <alignment horizontal="right" vertical="center"/>
    </xf>
    <xf numFmtId="0" fontId="6" fillId="4" borderId="1" xfId="0" applyNumberFormat="1" applyFont="1" applyFill="1" applyBorder="1" applyAlignment="1" applyProtection="1">
      <alignment horizontal="left" vertical="top"/>
      <protection locked="0"/>
    </xf>
    <xf numFmtId="164" fontId="6" fillId="0" borderId="2" xfId="0" applyNumberFormat="1" applyFont="1" applyFill="1" applyBorder="1" applyAlignment="1" applyProtection="1">
      <alignment horizontal="left" vertical="top"/>
    </xf>
    <xf numFmtId="43" fontId="5" fillId="5" borderId="2" xfId="0" applyNumberFormat="1" applyFont="1" applyFill="1" applyBorder="1" applyAlignment="1" applyProtection="1">
      <alignment vertical="top"/>
    </xf>
    <xf numFmtId="49" fontId="7" fillId="0" borderId="0" xfId="0" applyNumberFormat="1" applyFont="1" applyFill="1" applyBorder="1" applyAlignment="1" applyProtection="1">
      <alignment vertical="top"/>
      <protection locked="0"/>
    </xf>
    <xf numFmtId="2" fontId="7" fillId="0" borderId="0" xfId="0" applyNumberFormat="1" applyFont="1" applyFill="1" applyBorder="1" applyAlignment="1" applyProtection="1">
      <alignment vertical="top"/>
      <protection locked="0"/>
    </xf>
    <xf numFmtId="165" fontId="7" fillId="0" borderId="0" xfId="1" applyNumberFormat="1" applyFont="1" applyFill="1" applyBorder="1" applyAlignment="1" applyProtection="1">
      <alignment vertical="top"/>
    </xf>
    <xf numFmtId="0" fontId="12" fillId="0" borderId="0" xfId="0" applyFont="1"/>
    <xf numFmtId="0" fontId="0" fillId="0" borderId="0" xfId="0"/>
    <xf numFmtId="0" fontId="14" fillId="6" borderId="3" xfId="3" applyFont="1" applyFill="1" applyBorder="1" applyAlignment="1">
      <alignment horizontal="center" vertical="center"/>
    </xf>
    <xf numFmtId="0" fontId="11" fillId="0" borderId="0" xfId="0" applyFont="1"/>
    <xf numFmtId="0" fontId="0" fillId="5" borderId="0" xfId="0" applyFill="1"/>
    <xf numFmtId="0" fontId="0" fillId="5" borderId="0" xfId="0" applyFont="1" applyFill="1"/>
    <xf numFmtId="0" fontId="0" fillId="0" borderId="0" xfId="0" applyFon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49" fontId="0" fillId="0" borderId="0" xfId="0" applyNumberFormat="1"/>
    <xf numFmtId="0" fontId="7" fillId="0" borderId="0" xfId="0" applyFont="1" applyFill="1" applyBorder="1" applyAlignment="1" applyProtection="1">
      <alignment vertical="top" wrapText="1"/>
    </xf>
    <xf numFmtId="0" fontId="0" fillId="0" borderId="0" xfId="0" applyAlignment="1">
      <alignment wrapText="1"/>
    </xf>
    <xf numFmtId="43" fontId="0" fillId="0" borderId="0" xfId="1" applyFont="1"/>
    <xf numFmtId="0" fontId="0" fillId="0" borderId="0" xfId="0" applyAlignment="1">
      <alignment horizontal="right" vertical="center"/>
    </xf>
    <xf numFmtId="43" fontId="5" fillId="0" borderId="4" xfId="1" applyFont="1" applyBorder="1" applyAlignment="1">
      <alignment vertical="center"/>
    </xf>
    <xf numFmtId="43" fontId="0" fillId="0" borderId="0" xfId="1" applyFont="1" applyAlignment="1">
      <alignment vertical="top"/>
    </xf>
    <xf numFmtId="0" fontId="5" fillId="2" borderId="0" xfId="0" applyFont="1" applyFill="1" applyAlignment="1" applyProtection="1">
      <alignment horizontal="center" vertical="center"/>
    </xf>
    <xf numFmtId="43" fontId="6" fillId="3" borderId="5" xfId="0" applyNumberFormat="1" applyFont="1" applyFill="1" applyBorder="1" applyAlignment="1" applyProtection="1">
      <alignment vertical="top"/>
    </xf>
    <xf numFmtId="43" fontId="6" fillId="3" borderId="6" xfId="0" applyNumberFormat="1" applyFont="1" applyFill="1" applyBorder="1" applyAlignment="1" applyProtection="1">
      <alignment vertical="top"/>
    </xf>
    <xf numFmtId="43" fontId="17" fillId="7" borderId="3" xfId="0" applyNumberFormat="1" applyFont="1" applyFill="1" applyBorder="1" applyAlignment="1" applyProtection="1">
      <alignment vertical="center"/>
    </xf>
    <xf numFmtId="0" fontId="15" fillId="2" borderId="0" xfId="0" applyFont="1" applyFill="1" applyAlignment="1" applyProtection="1">
      <alignment horizontal="right" vertical="center"/>
    </xf>
    <xf numFmtId="0" fontId="6" fillId="0" borderId="2" xfId="0" applyFont="1" applyFill="1" applyBorder="1" applyAlignment="1" applyProtection="1">
      <alignment vertical="top"/>
    </xf>
    <xf numFmtId="49" fontId="0" fillId="0" borderId="0" xfId="0" quotePrefix="1" applyNumberFormat="1"/>
    <xf numFmtId="43" fontId="6" fillId="3" borderId="2" xfId="0" applyNumberFormat="1" applyFont="1" applyFill="1" applyBorder="1" applyAlignment="1" applyProtection="1">
      <alignment vertical="top"/>
    </xf>
    <xf numFmtId="43" fontId="6" fillId="0" borderId="0" xfId="1" applyFont="1" applyAlignment="1">
      <alignment vertical="top"/>
    </xf>
    <xf numFmtId="49" fontId="0" fillId="0" borderId="0" xfId="0" applyNumberFormat="1" applyAlignment="1">
      <alignment vertical="top"/>
    </xf>
    <xf numFmtId="0" fontId="0" fillId="0" borderId="0" xfId="0" applyAlignment="1">
      <alignment horizontal="left"/>
    </xf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5" borderId="0" xfId="0" applyFont="1" applyFill="1"/>
    <xf numFmtId="0" fontId="0" fillId="0" borderId="0" xfId="0" applyFont="1" applyProtection="1">
      <protection locked="0"/>
    </xf>
    <xf numFmtId="0" fontId="25" fillId="0" borderId="0" xfId="0" applyFont="1"/>
    <xf numFmtId="0" fontId="5" fillId="0" borderId="0" xfId="0" applyFont="1" applyAlignment="1">
      <alignment horizontal="right"/>
    </xf>
    <xf numFmtId="0" fontId="26" fillId="0" borderId="0" xfId="2" applyFont="1" applyAlignment="1" applyProtection="1"/>
    <xf numFmtId="0" fontId="0" fillId="0" borderId="0" xfId="0" applyFont="1" applyFill="1" applyProtection="1"/>
    <xf numFmtId="0" fontId="0" fillId="0" borderId="0" xfId="0" applyFont="1" applyProtection="1"/>
    <xf numFmtId="0" fontId="27" fillId="0" borderId="0" xfId="0" applyFont="1"/>
    <xf numFmtId="0" fontId="7" fillId="0" borderId="0" xfId="0" applyNumberFormat="1" applyFont="1" applyFill="1" applyBorder="1" applyAlignment="1" applyProtection="1">
      <alignment vertical="top" wrapText="1"/>
    </xf>
    <xf numFmtId="49" fontId="0" fillId="0" borderId="0" xfId="0" applyNumberFormat="1" applyAlignment="1">
      <alignment vertical="top" wrapText="1"/>
    </xf>
    <xf numFmtId="0" fontId="0" fillId="4" borderId="7" xfId="0" applyFont="1" applyFill="1" applyBorder="1" applyProtection="1">
      <protection locked="0"/>
    </xf>
    <xf numFmtId="49" fontId="0" fillId="4" borderId="7" xfId="0" applyNumberFormat="1" applyFont="1" applyFill="1" applyBorder="1" applyProtection="1">
      <protection locked="0"/>
    </xf>
    <xf numFmtId="9" fontId="0" fillId="0" borderId="7" xfId="0" applyNumberFormat="1" applyFont="1" applyBorder="1" applyProtection="1">
      <protection locked="0"/>
    </xf>
    <xf numFmtId="0" fontId="0" fillId="0" borderId="7" xfId="0" applyFont="1" applyBorder="1" applyProtection="1">
      <protection locked="0"/>
    </xf>
    <xf numFmtId="2" fontId="6" fillId="8" borderId="8" xfId="0" applyNumberFormat="1" applyFont="1" applyFill="1" applyBorder="1" applyAlignment="1" applyProtection="1">
      <alignment vertical="center"/>
      <protection locked="0"/>
    </xf>
    <xf numFmtId="43" fontId="16" fillId="8" borderId="8" xfId="1" applyFont="1" applyFill="1" applyBorder="1" applyAlignment="1" applyProtection="1">
      <alignment vertical="center"/>
      <protection locked="0"/>
    </xf>
    <xf numFmtId="49" fontId="0" fillId="9" borderId="8" xfId="0" applyNumberFormat="1" applyFont="1" applyFill="1" applyBorder="1" applyAlignment="1" applyProtection="1">
      <alignment vertical="center"/>
      <protection locked="0"/>
    </xf>
    <xf numFmtId="0" fontId="0" fillId="4" borderId="11" xfId="0" applyFont="1" applyFill="1" applyBorder="1" applyProtection="1">
      <protection locked="0"/>
    </xf>
    <xf numFmtId="0" fontId="0" fillId="4" borderId="12" xfId="0" applyFont="1" applyFill="1" applyBorder="1"/>
    <xf numFmtId="0" fontId="0" fillId="4" borderId="13" xfId="0" applyFont="1" applyFill="1" applyBorder="1"/>
    <xf numFmtId="164" fontId="6" fillId="2" borderId="0" xfId="0" applyNumberFormat="1" applyFont="1" applyFill="1" applyBorder="1" applyAlignment="1" applyProtection="1">
      <alignment horizontal="left" vertical="top"/>
    </xf>
    <xf numFmtId="0" fontId="0" fillId="8" borderId="9" xfId="0" applyFont="1" applyFill="1" applyBorder="1" applyAlignment="1" applyProtection="1">
      <alignment vertical="center"/>
      <protection locked="0"/>
    </xf>
    <xf numFmtId="0" fontId="0" fillId="8" borderId="10" xfId="0" applyFont="1" applyFill="1" applyBorder="1" applyAlignment="1" applyProtection="1">
      <alignment vertical="center"/>
      <protection locked="0"/>
    </xf>
    <xf numFmtId="0" fontId="15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2" applyAlignment="1" applyProtection="1"/>
    <xf numFmtId="0" fontId="26" fillId="0" borderId="0" xfId="2" applyFont="1" applyAlignment="1" applyProtection="1"/>
  </cellXfs>
  <cellStyles count="4">
    <cellStyle name="Comma" xfId="1" builtinId="3"/>
    <cellStyle name="Hyperlink" xfId="2" builtinId="8"/>
    <cellStyle name="Hyperlink 2" xfId="3"/>
    <cellStyle name="Normal" xfId="0" builtinId="0" customBuiltin="1"/>
  </cellStyles>
  <dxfs count="10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Leelawadee"/>
        <scheme val="none"/>
      </font>
      <numFmt numFmtId="165" formatCode="#,##0.00;[Red]\(#,##0.00\);_(* &quot;-&quot;_);_(@_)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Leelawadee"/>
        <scheme val="none"/>
      </font>
      <numFmt numFmtId="165" formatCode="#,##0.00;[Red]\(#,##0.00\);_(* &quot;-&quot;_);_(@_)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Leelawadee"/>
        <scheme val="none"/>
      </font>
      <numFmt numFmtId="2" formatCode="0.00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Leelawadee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Leelawadee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Leelawadee"/>
        <scheme val="none"/>
      </font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Leelawadee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9" defaultPivotStyle="PivotStyleLight16"/>
  <colors>
    <mruColors>
      <color rgb="FF33CC33"/>
      <color rgb="FF00FF00"/>
      <color rgb="FFCCFF99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firstButton="1" fmlaLink="config!$E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Drop" dropStyle="combo" dx="15" fmlaLink="config!$F$1" fmlaRange="configAges" noThreeD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5</xdr:row>
          <xdr:rowOff>9525</xdr:rowOff>
        </xdr:from>
        <xdr:to>
          <xdr:col>4</xdr:col>
          <xdr:colOff>457200</xdr:colOff>
          <xdr:row>5</xdr:row>
          <xdr:rowOff>228600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ชาย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561975</xdr:colOff>
          <xdr:row>5</xdr:row>
          <xdr:rowOff>9525</xdr:rowOff>
        </xdr:from>
        <xdr:to>
          <xdr:col>4</xdr:col>
          <xdr:colOff>990600</xdr:colOff>
          <xdr:row>5</xdr:row>
          <xdr:rowOff>228600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หญิง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5</xdr:row>
          <xdr:rowOff>209550</xdr:rowOff>
        </xdr:from>
        <xdr:to>
          <xdr:col>4</xdr:col>
          <xdr:colOff>590550</xdr:colOff>
          <xdr:row>6</xdr:row>
          <xdr:rowOff>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ไม่ระบุ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5</xdr:row>
          <xdr:rowOff>200025</xdr:rowOff>
        </xdr:from>
        <xdr:to>
          <xdr:col>4</xdr:col>
          <xdr:colOff>1524000</xdr:colOff>
          <xdr:row>6</xdr:row>
          <xdr:rowOff>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981075</xdr:colOff>
          <xdr:row>5</xdr:row>
          <xdr:rowOff>104775</xdr:rowOff>
        </xdr:from>
        <xdr:to>
          <xdr:col>7</xdr:col>
          <xdr:colOff>9525</xdr:colOff>
          <xdr:row>5</xdr:row>
          <xdr:rowOff>381000</xdr:rowOff>
        </xdr:to>
        <xdr:sp macro="" textlink="">
          <xdr:nvSpPr>
            <xdr:cNvPr id="1030" name="btnCancelCreateBill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Leelawadee"/>
                  <a:cs typeface="Leelawadee"/>
                </a:rPr>
                <a:t>ยกเลิกรายการทั้งหมด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0</xdr:col>
      <xdr:colOff>104775</xdr:colOff>
      <xdr:row>0</xdr:row>
      <xdr:rowOff>85725</xdr:rowOff>
    </xdr:from>
    <xdr:to>
      <xdr:col>1</xdr:col>
      <xdr:colOff>561975</xdr:colOff>
      <xdr:row>6</xdr:row>
      <xdr:rowOff>56385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4775" y="85725"/>
          <a:ext cx="1066800" cy="12184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123825</xdr:rowOff>
    </xdr:from>
    <xdr:to>
      <xdr:col>2</xdr:col>
      <xdr:colOff>285750</xdr:colOff>
      <xdr:row>8</xdr:row>
      <xdr:rowOff>27810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50" y="123825"/>
          <a:ext cx="1066800" cy="12184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85725</xdr:colOff>
          <xdr:row>3</xdr:row>
          <xdr:rowOff>0</xdr:rowOff>
        </xdr:from>
        <xdr:to>
          <xdr:col>5</xdr:col>
          <xdr:colOff>114300</xdr:colOff>
          <xdr:row>4</xdr:row>
          <xdr:rowOff>66675</xdr:rowOff>
        </xdr:to>
        <xdr:sp macro="" textlink="">
          <xdr:nvSpPr>
            <xdr:cNvPr id="5122" name="btnCancelBi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Leelawadee"/>
                  <a:cs typeface="Leelawadee"/>
                </a:rPr>
                <a:t>ยกเลิกบิล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171450</xdr:colOff>
          <xdr:row>0</xdr:row>
          <xdr:rowOff>152400</xdr:rowOff>
        </xdr:from>
        <xdr:to>
          <xdr:col>6</xdr:col>
          <xdr:colOff>361950</xdr:colOff>
          <xdr:row>2</xdr:row>
          <xdr:rowOff>38100</xdr:rowOff>
        </xdr:to>
        <xdr:sp macro="" textlink="">
          <xdr:nvSpPr>
            <xdr:cNvPr id="5123" name="btnCancelBill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พิมพ์สำเนา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85725</xdr:colOff>
          <xdr:row>0</xdr:row>
          <xdr:rowOff>152400</xdr:rowOff>
        </xdr:from>
        <xdr:to>
          <xdr:col>5</xdr:col>
          <xdr:colOff>114300</xdr:colOff>
          <xdr:row>2</xdr:row>
          <xdr:rowOff>38100</xdr:rowOff>
        </xdr:to>
        <xdr:sp macro="" textlink="">
          <xdr:nvSpPr>
            <xdr:cNvPr id="5124" name="btnCancelBill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พิมพ์ต้นฉบับ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466725</xdr:colOff>
      <xdr:row>1</xdr:row>
      <xdr:rowOff>28575</xdr:rowOff>
    </xdr:from>
    <xdr:ext cx="2248116" cy="2914650"/>
    <xdr:sp macro="" textlink="">
      <xdr:nvSpPr>
        <xdr:cNvPr id="4" name="TextBox 3"/>
        <xdr:cNvSpPr txBox="1"/>
      </xdr:nvSpPr>
      <xdr:spPr>
        <a:xfrm>
          <a:off x="5114925" y="190500"/>
          <a:ext cx="2248116" cy="2914650"/>
        </a:xfrm>
        <a:prstGeom prst="rect">
          <a:avLst/>
        </a:prstGeom>
        <a:solidFill>
          <a:srgbClr val="FFFFCC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$billNo	</a:t>
          </a:r>
          <a:r>
            <a:rPr lang="th-TH" sz="1100"/>
            <a:t>หมายเลขบิล</a:t>
          </a:r>
        </a:p>
        <a:p>
          <a:r>
            <a:rPr lang="th-TH" sz="1100"/>
            <a:t>$</a:t>
          </a:r>
          <a:r>
            <a:rPr lang="en-US" sz="1100"/>
            <a:t>billDate	</a:t>
          </a:r>
          <a:r>
            <a:rPr lang="th-TH" sz="1100"/>
            <a:t>วันที่ เวลา</a:t>
          </a:r>
        </a:p>
        <a:p>
          <a:r>
            <a:rPr lang="th-TH" sz="1100"/>
            <a:t>$</a:t>
          </a:r>
          <a:r>
            <a:rPr lang="en-US" sz="1100"/>
            <a:t>customer	</a:t>
          </a:r>
          <a:r>
            <a:rPr lang="th-TH" sz="1100"/>
            <a:t>ชื่อลูกค้า</a:t>
          </a:r>
        </a:p>
        <a:p>
          <a:r>
            <a:rPr lang="th-TH" sz="1100"/>
            <a:t>$</a:t>
          </a:r>
          <a:r>
            <a:rPr lang="en-US" sz="1100"/>
            <a:t>beforeVAT	</a:t>
          </a:r>
          <a:r>
            <a:rPr lang="th-TH" sz="1100"/>
            <a:t>ราคาสินค้าก่อน </a:t>
          </a:r>
          <a:r>
            <a:rPr lang="en-US" sz="1100"/>
            <a:t>VAT</a:t>
          </a:r>
        </a:p>
        <a:p>
          <a:r>
            <a:rPr lang="en-US" sz="1100"/>
            <a:t>$VAT	VAT</a:t>
          </a:r>
        </a:p>
        <a:p>
          <a:r>
            <a:rPr lang="en-US" sz="1100"/>
            <a:t>$total	</a:t>
          </a:r>
          <a:r>
            <a:rPr lang="th-TH" sz="1100"/>
            <a:t>ราคารวม</a:t>
          </a:r>
          <a:endParaRPr lang="en-US" sz="1100"/>
        </a:p>
        <a:p>
          <a:r>
            <a:rPr lang="en-US" sz="1100"/>
            <a:t>$copy	</a:t>
          </a:r>
          <a:r>
            <a:rPr lang="th-TH" sz="1100"/>
            <a:t>ต้นฉบับ/สำเนา</a:t>
          </a:r>
        </a:p>
        <a:p>
          <a:r>
            <a:rPr lang="th-TH" sz="1100"/>
            <a:t>	</a:t>
          </a:r>
        </a:p>
        <a:p>
          <a:r>
            <a:rPr lang="en-US" sz="1100"/>
            <a:t>%n	</a:t>
          </a:r>
          <a:r>
            <a:rPr lang="th-TH" sz="1100"/>
            <a:t>ลำดับที่</a:t>
          </a:r>
          <a:endParaRPr lang="en-US" sz="1100"/>
        </a:p>
        <a:p>
          <a:r>
            <a:rPr lang="th-TH" sz="1100"/>
            <a:t>%</a:t>
          </a:r>
          <a:r>
            <a:rPr lang="en-US" sz="1100"/>
            <a:t>itemID	</a:t>
          </a:r>
          <a:r>
            <a:rPr lang="th-TH" sz="1100"/>
            <a:t>รหัสสินค้า</a:t>
          </a:r>
        </a:p>
        <a:p>
          <a:r>
            <a:rPr lang="th-TH" sz="1100"/>
            <a:t>%</a:t>
          </a:r>
          <a:r>
            <a:rPr lang="en-US" sz="1100"/>
            <a:t>title	</a:t>
          </a:r>
          <a:r>
            <a:rPr lang="th-TH" sz="1100"/>
            <a:t>ชื่อสินค้า</a:t>
          </a:r>
        </a:p>
        <a:p>
          <a:r>
            <a:rPr lang="th-TH" sz="1100"/>
            <a:t>%</a:t>
          </a:r>
          <a:r>
            <a:rPr lang="en-US" sz="1100"/>
            <a:t>qty	</a:t>
          </a:r>
          <a:r>
            <a:rPr lang="th-TH" sz="1100"/>
            <a:t>จำนวน</a:t>
          </a:r>
        </a:p>
        <a:p>
          <a:r>
            <a:rPr lang="th-TH" sz="1100"/>
            <a:t>%</a:t>
          </a:r>
          <a:r>
            <a:rPr lang="en-US" sz="1100"/>
            <a:t>price	</a:t>
          </a:r>
          <a:r>
            <a:rPr lang="th-TH" sz="1100"/>
            <a:t>ราคา</a:t>
          </a:r>
        </a:p>
        <a:p>
          <a:r>
            <a:rPr lang="th-TH" sz="1100"/>
            <a:t>%</a:t>
          </a:r>
          <a:r>
            <a:rPr lang="en-US" sz="1100"/>
            <a:t>total	</a:t>
          </a:r>
          <a:r>
            <a:rPr lang="th-TH" sz="1100"/>
            <a:t>ราคารวม</a:t>
          </a:r>
          <a:r>
            <a:rPr lang="en-US" sz="1100"/>
            <a:t> qty*price</a:t>
          </a:r>
          <a:endParaRPr lang="th-TH" sz="1100"/>
        </a:p>
        <a:p>
          <a:r>
            <a:rPr lang="th-TH" sz="1100"/>
            <a:t>%</a:t>
          </a:r>
          <a:r>
            <a:rPr lang="en-US" sz="1100"/>
            <a:t>grandTotal	</a:t>
          </a:r>
          <a:r>
            <a:rPr lang="th-TH" sz="1100"/>
            <a:t>ราคารวม </a:t>
          </a:r>
          <a:r>
            <a:rPr lang="en-US" sz="1100"/>
            <a:t>VAT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66675</xdr:rowOff>
    </xdr:from>
    <xdr:to>
      <xdr:col>10</xdr:col>
      <xdr:colOff>495300</xdr:colOff>
      <xdr:row>7</xdr:row>
      <xdr:rowOff>65910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39000" y="66675"/>
          <a:ext cx="1066800" cy="1218435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7</xdr:row>
      <xdr:rowOff>66675</xdr:rowOff>
    </xdr:from>
    <xdr:to>
      <xdr:col>7</xdr:col>
      <xdr:colOff>461111</xdr:colOff>
      <xdr:row>21</xdr:row>
      <xdr:rowOff>57150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1950" y="1285875"/>
          <a:ext cx="2270861" cy="228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</xdr:row>
          <xdr:rowOff>38100</xdr:rowOff>
        </xdr:from>
        <xdr:to>
          <xdr:col>2</xdr:col>
          <xdr:colOff>1133475</xdr:colOff>
          <xdr:row>17</xdr:row>
          <xdr:rowOff>85725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Browse...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Bill" displayName="TableBill" ref="D8:I18" totalsRowShown="0" dataDxfId="9" headerRowCellStyle="Normal">
  <tableColumns count="6">
    <tableColumn id="1" name="#" dataDxfId="8"/>
    <tableColumn id="2" name="รหัสสินค้า" dataDxfId="7"/>
    <tableColumn id="3" name="รายละเอียด" dataDxfId="6">
      <calculatedColumnFormula>IF(TableBill[[#This Row],[รหัสสินค้า]]&lt;&gt;"",VLOOKUP(TableBill[[#This Row],[รหัสสินค้า]],TableProduct[],2,FALSE),"")</calculatedColumnFormula>
    </tableColumn>
    <tableColumn id="4" name="จำนวน" dataDxfId="5"/>
    <tableColumn id="5" name="ราคา" dataDxfId="4" dataCellStyle="Comma">
      <calculatedColumnFormula>IF(TableBill[[#This Row],[รหัสสินค้า]]&lt;&gt;"",VLOOKUP(TableBill[[#This Row],[รหัสสินค้า]],TableProduct[],3,FALSE),"")</calculatedColumnFormula>
    </tableColumn>
    <tableColumn id="6" name="รวม" dataDxfId="3" dataCellStyle="Comma">
      <calculatedColumnFormula>IF(TableBill[[#This Row],[รหัสสินค้า]]&lt;&gt;"",TableBill[[#This Row],[จำนวน]]*TableBill[[#This Row],[ราคา]],0)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3" name="TableCancel" displayName="TableCancel" ref="B10:G45" totalsRowShown="0">
  <tableColumns count="6">
    <tableColumn id="1" name="#"/>
    <tableColumn id="2" name="รหัสสินค้า" dataDxfId="2"/>
    <tableColumn id="3" name="รายละเอียด" dataDxfId="1"/>
    <tableColumn id="4" name="จำนวน" dataCellStyle="Comma"/>
    <tableColumn id="5" name="ราคา" dataCellStyle="Comma"/>
    <tableColumn id="6" name="รวม" dataCellStyle="Comma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TableProduct" displayName="TableProduct" ref="A1:D47" totalsRowShown="0">
  <autoFilter ref="A1:D47"/>
  <tableColumns count="4">
    <tableColumn id="1" name="itemId" dataDxfId="0"/>
    <tableColumn id="2" name="title"/>
    <tableColumn id="4" name="price"/>
    <tableColumn id="3" name="cost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hyperlink" Target="https://charin-nawaritloha.github.io/excel-vba-notes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fb.com/msg/made2order.duck" TargetMode="External"/><Relationship Id="rId1" Type="http://schemas.openxmlformats.org/officeDocument/2006/relationships/hyperlink" Target="https://plus.google.com/102833615283651496255" TargetMode="External"/><Relationship Id="rId6" Type="http://schemas.openxmlformats.org/officeDocument/2006/relationships/hyperlink" Target="https://charin-nawaritloha.github.io/excel-vba-notes/20190516_bill123_version_2.html" TargetMode="External"/><Relationship Id="rId11" Type="http://schemas.openxmlformats.org/officeDocument/2006/relationships/comments" Target="../comments2.xml"/><Relationship Id="rId5" Type="http://schemas.openxmlformats.org/officeDocument/2006/relationships/hyperlink" Target="https://charin-nawaritloha.github.io/excel-vba-notes/p/profiles.html" TargetMode="External"/><Relationship Id="rId10" Type="http://schemas.openxmlformats.org/officeDocument/2006/relationships/ctrlProp" Target="../ctrlProps/ctrlProp9.xml"/><Relationship Id="rId4" Type="http://schemas.openxmlformats.org/officeDocument/2006/relationships/hyperlink" Target="https://line.me/R/ti/p/~pure88" TargetMode="External"/><Relationship Id="rId9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Bill">
    <tabColor rgb="FF002060"/>
  </sheetPr>
  <dimension ref="C1:I18"/>
  <sheetViews>
    <sheetView showGridLines="0" showRowColHeaders="0" zoomScaleNormal="100" workbookViewId="0">
      <pane ySplit="8" topLeftCell="A9" activePane="bottomLeft" state="frozen"/>
      <selection pane="bottomLeft" activeCell="E4" sqref="E4"/>
    </sheetView>
  </sheetViews>
  <sheetFormatPr defaultRowHeight="12.75" x14ac:dyDescent="0.2"/>
  <cols>
    <col min="1" max="2" width="9.140625" style="2"/>
    <col min="3" max="3" width="9.5703125" style="2" customWidth="1"/>
    <col min="4" max="4" width="4.28515625" style="2" customWidth="1"/>
    <col min="5" max="5" width="24.28515625" style="2" customWidth="1"/>
    <col min="6" max="6" width="30.85546875" style="2" customWidth="1"/>
    <col min="7" max="7" width="9.140625" style="2" customWidth="1"/>
    <col min="8" max="8" width="13.42578125" style="2" customWidth="1"/>
    <col min="9" max="9" width="17.5703125" style="2" bestFit="1" customWidth="1"/>
    <col min="10" max="16384" width="9.140625" style="2"/>
  </cols>
  <sheetData>
    <row r="1" spans="3:9" ht="17.25" customHeight="1" thickBot="1" x14ac:dyDescent="0.25">
      <c r="C1" s="1" t="s">
        <v>0</v>
      </c>
      <c r="E1" s="69">
        <f ca="1">NOW()</f>
        <v>43789.510420023151</v>
      </c>
      <c r="F1" s="69"/>
      <c r="G1" s="69"/>
      <c r="H1" s="3" t="s">
        <v>51</v>
      </c>
      <c r="I1" s="36">
        <f>IF(configCalVAT=1, SUM(TableBill[รวม]) / (1+configVAT), SUM(TableBill[รวม]))</f>
        <v>0</v>
      </c>
    </row>
    <row r="2" spans="3:9" ht="15" customHeight="1" thickBot="1" x14ac:dyDescent="0.25">
      <c r="C2" s="1" t="s">
        <v>1</v>
      </c>
      <c r="E2" s="70"/>
      <c r="F2" s="71"/>
      <c r="G2" s="4"/>
      <c r="H2" s="3" t="s">
        <v>155</v>
      </c>
      <c r="I2" s="37">
        <f>IF(configCalVAT=1, I1*configVAT, 1)</f>
        <v>0</v>
      </c>
    </row>
    <row r="3" spans="3:9" ht="5.25" customHeight="1" thickBot="1" x14ac:dyDescent="0.25">
      <c r="C3" s="5"/>
    </row>
    <row r="4" spans="3:9" ht="21" customHeight="1" thickBot="1" x14ac:dyDescent="0.25">
      <c r="C4" s="1" t="s">
        <v>12</v>
      </c>
      <c r="E4" s="65"/>
      <c r="F4" s="6" t="s">
        <v>5</v>
      </c>
      <c r="G4" s="63">
        <v>1</v>
      </c>
      <c r="H4" s="3" t="s">
        <v>19</v>
      </c>
      <c r="I4" s="38">
        <f>I1+I2</f>
        <v>0</v>
      </c>
    </row>
    <row r="5" spans="3:9" ht="6" customHeight="1" thickBot="1" x14ac:dyDescent="0.25"/>
    <row r="6" spans="3:9" ht="33.75" customHeight="1" thickBot="1" x14ac:dyDescent="0.25">
      <c r="C6" s="35" t="s">
        <v>2</v>
      </c>
      <c r="H6" s="39" t="s">
        <v>163</v>
      </c>
      <c r="I6" s="64"/>
    </row>
    <row r="7" spans="3:9" ht="4.5" customHeight="1" x14ac:dyDescent="0.2"/>
    <row r="8" spans="3:9" x14ac:dyDescent="0.2">
      <c r="D8" t="s">
        <v>26</v>
      </c>
      <c r="E8" t="s">
        <v>3</v>
      </c>
      <c r="F8" t="s">
        <v>4</v>
      </c>
      <c r="G8" s="9" t="s">
        <v>5</v>
      </c>
      <c r="H8" s="9" t="s">
        <v>13</v>
      </c>
      <c r="I8" s="9" t="s">
        <v>14</v>
      </c>
    </row>
    <row r="9" spans="3:9" x14ac:dyDescent="0.2">
      <c r="D9" s="7"/>
      <c r="E9" s="14"/>
      <c r="F9" s="29" t="str">
        <f>IF(TableBill[[#This Row],[รหัสสินค้า]]&lt;&gt;"",VLOOKUP(TableBill[[#This Row],[รหัสสินค้า]],TableProduct[],2,FALSE),"")</f>
        <v/>
      </c>
      <c r="G9" s="15"/>
      <c r="H9" s="16" t="str">
        <f>IF(TableBill[[#This Row],[รหัสสินค้า]]&lt;&gt;"",VLOOKUP(TableBill[[#This Row],[รหัสสินค้า]],TableProduct[],3,FALSE),"")</f>
        <v/>
      </c>
      <c r="I9" s="16">
        <f>IF(TableBill[[#This Row],[รหัสสินค้า]]&lt;&gt;"",TableBill[[#This Row],[จำนวน]]*TableBill[[#This Row],[ราคา]],0)</f>
        <v>0</v>
      </c>
    </row>
    <row r="10" spans="3:9" x14ac:dyDescent="0.2">
      <c r="D10" s="7"/>
      <c r="E10" s="14"/>
      <c r="F10" s="57" t="str">
        <f>IF(TableBill[[#This Row],[รหัสสินค้า]]&lt;&gt;"",VLOOKUP(TableBill[[#This Row],[รหัสสินค้า]],TableProduct[],2,FALSE),"")</f>
        <v/>
      </c>
      <c r="G10" s="15"/>
      <c r="H10" s="16" t="str">
        <f>IF(TableBill[[#This Row],[รหัสสินค้า]]&lt;&gt;"",VLOOKUP(TableBill[[#This Row],[รหัสสินค้า]],TableProduct[],3,FALSE),"")</f>
        <v/>
      </c>
      <c r="I10" s="16">
        <f>IF(TableBill[[#This Row],[รหัสสินค้า]]&lt;&gt;"",TableBill[[#This Row],[จำนวน]]*TableBill[[#This Row],[ราคา]],0)</f>
        <v>0</v>
      </c>
    </row>
    <row r="11" spans="3:9" x14ac:dyDescent="0.2">
      <c r="D11" s="7"/>
      <c r="E11" s="14"/>
      <c r="F11" s="57" t="str">
        <f>IF(TableBill[[#This Row],[รหัสสินค้า]]&lt;&gt;"",VLOOKUP(TableBill[[#This Row],[รหัสสินค้า]],TableProduct[],2,FALSE),"")</f>
        <v/>
      </c>
      <c r="G11" s="15"/>
      <c r="H11" s="16" t="str">
        <f>IF(TableBill[[#This Row],[รหัสสินค้า]]&lt;&gt;"",VLOOKUP(TableBill[[#This Row],[รหัสสินค้า]],TableProduct[],3,FALSE),"")</f>
        <v/>
      </c>
      <c r="I11" s="16">
        <f>IF(TableBill[[#This Row],[รหัสสินค้า]]&lt;&gt;"",TableBill[[#This Row],[จำนวน]]*TableBill[[#This Row],[ราคา]],0)</f>
        <v>0</v>
      </c>
    </row>
    <row r="12" spans="3:9" x14ac:dyDescent="0.2">
      <c r="D12" s="7"/>
      <c r="E12" s="14"/>
      <c r="F12" s="57" t="str">
        <f>IF(TableBill[[#This Row],[รหัสสินค้า]]&lt;&gt;"",VLOOKUP(TableBill[[#This Row],[รหัสสินค้า]],TableProduct[],2,FALSE),"")</f>
        <v/>
      </c>
      <c r="G12" s="15"/>
      <c r="H12" s="16" t="str">
        <f>IF(TableBill[[#This Row],[รหัสสินค้า]]&lt;&gt;"",VLOOKUP(TableBill[[#This Row],[รหัสสินค้า]],TableProduct[],3,FALSE),"")</f>
        <v/>
      </c>
      <c r="I12" s="16">
        <f>IF(TableBill[[#This Row],[รหัสสินค้า]]&lt;&gt;"",TableBill[[#This Row],[จำนวน]]*TableBill[[#This Row],[ราคา]],0)</f>
        <v>0</v>
      </c>
    </row>
    <row r="13" spans="3:9" x14ac:dyDescent="0.2">
      <c r="D13" s="7"/>
      <c r="E13" s="14"/>
      <c r="F13" s="57" t="str">
        <f>IF(TableBill[[#This Row],[รหัสสินค้า]]&lt;&gt;"",VLOOKUP(TableBill[[#This Row],[รหัสสินค้า]],TableProduct[],2,FALSE),"")</f>
        <v/>
      </c>
      <c r="G13" s="15"/>
      <c r="H13" s="16" t="str">
        <f>IF(TableBill[[#This Row],[รหัสสินค้า]]&lt;&gt;"",VLOOKUP(TableBill[[#This Row],[รหัสสินค้า]],TableProduct[],3,FALSE),"")</f>
        <v/>
      </c>
      <c r="I13" s="16">
        <f>IF(TableBill[[#This Row],[รหัสสินค้า]]&lt;&gt;"",TableBill[[#This Row],[จำนวน]]*TableBill[[#This Row],[ราคา]],0)</f>
        <v>0</v>
      </c>
    </row>
    <row r="14" spans="3:9" x14ac:dyDescent="0.2">
      <c r="D14" s="7"/>
      <c r="E14" s="14"/>
      <c r="F14" s="57" t="str">
        <f>IF(TableBill[[#This Row],[รหัสสินค้า]]&lt;&gt;"",VLOOKUP(TableBill[[#This Row],[รหัสสินค้า]],TableProduct[],2,FALSE),"")</f>
        <v/>
      </c>
      <c r="G14" s="15"/>
      <c r="H14" s="16" t="str">
        <f>IF(TableBill[[#This Row],[รหัสสินค้า]]&lt;&gt;"",VLOOKUP(TableBill[[#This Row],[รหัสสินค้า]],TableProduct[],3,FALSE),"")</f>
        <v/>
      </c>
      <c r="I14" s="16">
        <f>IF(TableBill[[#This Row],[รหัสสินค้า]]&lt;&gt;"",TableBill[[#This Row],[จำนวน]]*TableBill[[#This Row],[ราคา]],0)</f>
        <v>0</v>
      </c>
    </row>
    <row r="15" spans="3:9" x14ac:dyDescent="0.2">
      <c r="D15" s="7"/>
      <c r="E15" s="14"/>
      <c r="F15" s="57" t="str">
        <f>IF(TableBill[[#This Row],[รหัสสินค้า]]&lt;&gt;"",VLOOKUP(TableBill[[#This Row],[รหัสสินค้า]],TableProduct[],2,FALSE),"")</f>
        <v/>
      </c>
      <c r="G15" s="15"/>
      <c r="H15" s="16" t="str">
        <f>IF(TableBill[[#This Row],[รหัสสินค้า]]&lt;&gt;"",VLOOKUP(TableBill[[#This Row],[รหัสสินค้า]],TableProduct[],3,FALSE),"")</f>
        <v/>
      </c>
      <c r="I15" s="16">
        <f>IF(TableBill[[#This Row],[รหัสสินค้า]]&lt;&gt;"",TableBill[[#This Row],[จำนวน]]*TableBill[[#This Row],[ราคา]],0)</f>
        <v>0</v>
      </c>
    </row>
    <row r="16" spans="3:9" x14ac:dyDescent="0.2">
      <c r="D16" s="7"/>
      <c r="E16" s="14"/>
      <c r="F16" s="57" t="str">
        <f>IF(TableBill[[#This Row],[รหัสสินค้า]]&lt;&gt;"",VLOOKUP(TableBill[[#This Row],[รหัสสินค้า]],TableProduct[],2,FALSE),"")</f>
        <v/>
      </c>
      <c r="G16" s="15"/>
      <c r="H16" s="16" t="str">
        <f>IF(TableBill[[#This Row],[รหัสสินค้า]]&lt;&gt;"",VLOOKUP(TableBill[[#This Row],[รหัสสินค้า]],TableProduct[],3,FALSE),"")</f>
        <v/>
      </c>
      <c r="I16" s="16">
        <f>IF(TableBill[[#This Row],[รหัสสินค้า]]&lt;&gt;"",TableBill[[#This Row],[จำนวน]]*TableBill[[#This Row],[ราคา]],0)</f>
        <v>0</v>
      </c>
    </row>
    <row r="17" spans="4:9" x14ac:dyDescent="0.2">
      <c r="D17" s="7"/>
      <c r="E17" s="14"/>
      <c r="F17" s="57" t="str">
        <f>IF(TableBill[[#This Row],[รหัสสินค้า]]&lt;&gt;"",VLOOKUP(TableBill[[#This Row],[รหัสสินค้า]],TableProduct[],2,FALSE),"")</f>
        <v/>
      </c>
      <c r="G17" s="15"/>
      <c r="H17" s="16" t="str">
        <f>IF(TableBill[[#This Row],[รหัสสินค้า]]&lt;&gt;"",VLOOKUP(TableBill[[#This Row],[รหัสสินค้า]],TableProduct[],3,FALSE),"")</f>
        <v/>
      </c>
      <c r="I17" s="16">
        <f>IF(TableBill[[#This Row],[รหัสสินค้า]]&lt;&gt;"",TableBill[[#This Row],[จำนวน]]*TableBill[[#This Row],[ราคา]],0)</f>
        <v>0</v>
      </c>
    </row>
    <row r="18" spans="4:9" x14ac:dyDescent="0.2">
      <c r="D18" s="7"/>
      <c r="E18" s="14"/>
      <c r="F18" s="57" t="str">
        <f>IF(TableBill[[#This Row],[รหัสสินค้า]]&lt;&gt;"",VLOOKUP(TableBill[[#This Row],[รหัสสินค้า]],TableProduct[],2,FALSE),"")</f>
        <v/>
      </c>
      <c r="G18" s="15"/>
      <c r="H18" s="16" t="str">
        <f>IF(TableBill[[#This Row],[รหัสสินค้า]]&lt;&gt;"",VLOOKUP(TableBill[[#This Row],[รหัสสินค้า]],TableProduct[],3,FALSE),"")</f>
        <v/>
      </c>
      <c r="I18" s="16">
        <f>IF(TableBill[[#This Row],[รหัสสินค้า]]&lt;&gt;"",TableBill[[#This Row],[จำนวน]]*TableBill[[#This Row],[ราคา]],0)</f>
        <v>0</v>
      </c>
    </row>
  </sheetData>
  <sheetProtection password="BD27" sheet="1" objects="1" scenarios="1" selectLockedCells="1"/>
  <mergeCells count="2">
    <mergeCell ref="E1:G1"/>
    <mergeCell ref="E2:F2"/>
  </mergeCells>
  <pageMargins left="0.7" right="0.7" top="0.75" bottom="0.75" header="0.3" footer="0.3"/>
  <pageSetup paperSize="3276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locked="0" defaultSize="0" autoFill="0" autoLine="0" autoPict="0">
                <anchor>
                  <from>
                    <xdr:col>4</xdr:col>
                    <xdr:colOff>38100</xdr:colOff>
                    <xdr:row>5</xdr:row>
                    <xdr:rowOff>9525</xdr:rowOff>
                  </from>
                  <to>
                    <xdr:col>4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locked="0" defaultSize="0" autoFill="0" autoLine="0" autoPict="0">
                <anchor>
                  <from>
                    <xdr:col>4</xdr:col>
                    <xdr:colOff>561975</xdr:colOff>
                    <xdr:row>5</xdr:row>
                    <xdr:rowOff>9525</xdr:rowOff>
                  </from>
                  <to>
                    <xdr:col>4</xdr:col>
                    <xdr:colOff>990600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locked="0" defaultSize="0" autoFill="0" autoLine="0" autoPict="0">
                <anchor>
                  <from>
                    <xdr:col>4</xdr:col>
                    <xdr:colOff>38100</xdr:colOff>
                    <xdr:row>5</xdr:row>
                    <xdr:rowOff>209550</xdr:rowOff>
                  </from>
                  <to>
                    <xdr:col>4</xdr:col>
                    <xdr:colOff>590550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locked="0" defaultSize="0" autoLine="0" autoPict="0">
                <anchor>
                  <from>
                    <xdr:col>4</xdr:col>
                    <xdr:colOff>609600</xdr:colOff>
                    <xdr:row>5</xdr:row>
                    <xdr:rowOff>200025</xdr:rowOff>
                  </from>
                  <to>
                    <xdr:col>4</xdr:col>
                    <xdr:colOff>1524000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CancelCreateBill">
              <controlPr locked="0" defaultSize="0" print="0" autoFill="0" autoPict="0" macro="[0]!btnCancelCreateBill_Click">
                <anchor>
                  <from>
                    <xdr:col>5</xdr:col>
                    <xdr:colOff>981075</xdr:colOff>
                    <xdr:row>5</xdr:row>
                    <xdr:rowOff>104775</xdr:rowOff>
                  </from>
                  <to>
                    <xdr:col>7</xdr:col>
                    <xdr:colOff>9525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Cancel">
    <tabColor rgb="FF002060"/>
  </sheetPr>
  <dimension ref="B1:H45"/>
  <sheetViews>
    <sheetView showGridLines="0" showRowColHeaders="0" workbookViewId="0">
      <pane ySplit="10" topLeftCell="A11" activePane="bottomLeft" state="frozen"/>
      <selection pane="bottomLeft" activeCell="D2" sqref="D2"/>
    </sheetView>
  </sheetViews>
  <sheetFormatPr defaultRowHeight="12.75" x14ac:dyDescent="0.2"/>
  <cols>
    <col min="2" max="2" width="4" bestFit="1" customWidth="1"/>
    <col min="3" max="3" width="21.42578125" bestFit="1" customWidth="1"/>
    <col min="4" max="4" width="47.7109375" customWidth="1"/>
    <col min="5" max="5" width="14.140625" customWidth="1"/>
    <col min="6" max="6" width="11.7109375" customWidth="1"/>
    <col min="7" max="7" width="15.28515625" customWidth="1"/>
  </cols>
  <sheetData>
    <row r="1" spans="2:8" ht="13.5" thickBot="1" x14ac:dyDescent="0.25"/>
    <row r="2" spans="2:8" ht="13.5" thickBot="1" x14ac:dyDescent="0.25">
      <c r="C2" s="9" t="s">
        <v>166</v>
      </c>
      <c r="D2" s="11"/>
    </row>
    <row r="4" spans="2:8" x14ac:dyDescent="0.2">
      <c r="C4" s="10" t="s">
        <v>0</v>
      </c>
      <c r="D4" s="12"/>
      <c r="F4" s="3" t="s">
        <v>51</v>
      </c>
      <c r="G4" s="42"/>
    </row>
    <row r="5" spans="2:8" x14ac:dyDescent="0.2">
      <c r="C5" s="10" t="s">
        <v>1</v>
      </c>
      <c r="D5" s="40"/>
      <c r="F5" s="3" t="s">
        <v>18</v>
      </c>
      <c r="G5" s="42"/>
    </row>
    <row r="6" spans="2:8" x14ac:dyDescent="0.2">
      <c r="C6" s="10" t="s">
        <v>167</v>
      </c>
      <c r="D6" s="40"/>
      <c r="F6" s="2"/>
      <c r="G6" s="2"/>
    </row>
    <row r="7" spans="2:8" x14ac:dyDescent="0.2">
      <c r="C7" s="10" t="s">
        <v>6</v>
      </c>
      <c r="D7" s="40"/>
      <c r="F7" s="3" t="s">
        <v>19</v>
      </c>
      <c r="G7" s="13"/>
      <c r="H7" s="8"/>
    </row>
    <row r="8" spans="2:8" x14ac:dyDescent="0.2">
      <c r="H8" s="4"/>
    </row>
    <row r="10" spans="2:8" x14ac:dyDescent="0.2">
      <c r="B10" t="s">
        <v>26</v>
      </c>
      <c r="C10" t="s">
        <v>3</v>
      </c>
      <c r="D10" t="s">
        <v>4</v>
      </c>
      <c r="E10" t="s">
        <v>5</v>
      </c>
      <c r="F10" t="s">
        <v>13</v>
      </c>
      <c r="G10" t="s">
        <v>14</v>
      </c>
    </row>
    <row r="11" spans="2:8" x14ac:dyDescent="0.2">
      <c r="C11" s="41"/>
      <c r="D11" s="28"/>
      <c r="E11" s="31"/>
      <c r="F11" s="31"/>
      <c r="G11" s="31"/>
    </row>
    <row r="12" spans="2:8" x14ac:dyDescent="0.2">
      <c r="C12" s="28"/>
      <c r="D12" s="28"/>
      <c r="E12" s="31"/>
      <c r="F12" s="31"/>
      <c r="G12" s="31"/>
    </row>
    <row r="13" spans="2:8" x14ac:dyDescent="0.2">
      <c r="C13" s="28"/>
      <c r="D13" s="28"/>
      <c r="E13" s="31"/>
      <c r="F13" s="31"/>
      <c r="G13" s="31"/>
    </row>
    <row r="14" spans="2:8" x14ac:dyDescent="0.2">
      <c r="C14" s="28"/>
      <c r="D14" s="28"/>
      <c r="E14" s="31"/>
      <c r="F14" s="31"/>
      <c r="G14" s="31"/>
    </row>
    <row r="15" spans="2:8" x14ac:dyDescent="0.2">
      <c r="C15" s="28"/>
      <c r="D15" s="28"/>
      <c r="E15" s="31"/>
      <c r="F15" s="31"/>
      <c r="G15" s="31"/>
    </row>
    <row r="16" spans="2:8" x14ac:dyDescent="0.2">
      <c r="C16" s="28"/>
      <c r="D16" s="28"/>
      <c r="E16" s="31"/>
      <c r="F16" s="31"/>
      <c r="G16" s="31"/>
    </row>
    <row r="17" spans="3:7" x14ac:dyDescent="0.2">
      <c r="C17" s="28"/>
      <c r="D17" s="28"/>
      <c r="E17" s="31"/>
      <c r="F17" s="31"/>
      <c r="G17" s="31"/>
    </row>
    <row r="18" spans="3:7" x14ac:dyDescent="0.2">
      <c r="C18" s="28"/>
      <c r="D18" s="28"/>
      <c r="E18" s="31"/>
      <c r="F18" s="31"/>
      <c r="G18" s="31"/>
    </row>
    <row r="19" spans="3:7" x14ac:dyDescent="0.2">
      <c r="C19" s="28"/>
      <c r="D19" s="28"/>
      <c r="E19" s="31"/>
      <c r="F19" s="31"/>
      <c r="G19" s="31"/>
    </row>
    <row r="20" spans="3:7" x14ac:dyDescent="0.2">
      <c r="C20" s="28"/>
      <c r="D20" s="28"/>
      <c r="E20" s="31"/>
      <c r="F20" s="31"/>
      <c r="G20" s="31"/>
    </row>
    <row r="21" spans="3:7" x14ac:dyDescent="0.2">
      <c r="C21" s="28"/>
      <c r="D21" s="28"/>
      <c r="E21" s="31"/>
      <c r="F21" s="31"/>
      <c r="G21" s="31"/>
    </row>
    <row r="22" spans="3:7" x14ac:dyDescent="0.2">
      <c r="C22" s="28"/>
      <c r="D22" s="28"/>
      <c r="E22" s="31"/>
      <c r="F22" s="31"/>
      <c r="G22" s="31"/>
    </row>
    <row r="23" spans="3:7" x14ac:dyDescent="0.2">
      <c r="C23" s="28"/>
      <c r="D23" s="28"/>
      <c r="E23" s="31"/>
      <c r="F23" s="31"/>
      <c r="G23" s="31"/>
    </row>
    <row r="24" spans="3:7" x14ac:dyDescent="0.2">
      <c r="C24" s="28"/>
      <c r="D24" s="28"/>
      <c r="E24" s="31"/>
      <c r="F24" s="31"/>
      <c r="G24" s="31"/>
    </row>
    <row r="25" spans="3:7" x14ac:dyDescent="0.2">
      <c r="C25" s="28"/>
      <c r="D25" s="28"/>
      <c r="E25" s="31"/>
      <c r="F25" s="31"/>
      <c r="G25" s="31"/>
    </row>
    <row r="26" spans="3:7" x14ac:dyDescent="0.2">
      <c r="C26" s="28"/>
      <c r="D26" s="28"/>
      <c r="E26" s="31"/>
      <c r="F26" s="31"/>
      <c r="G26" s="31"/>
    </row>
    <row r="27" spans="3:7" x14ac:dyDescent="0.2">
      <c r="C27" s="28"/>
      <c r="D27" s="28"/>
      <c r="E27" s="31"/>
      <c r="F27" s="31"/>
      <c r="G27" s="31"/>
    </row>
    <row r="28" spans="3:7" x14ac:dyDescent="0.2">
      <c r="C28" s="28"/>
      <c r="D28" s="28"/>
      <c r="E28" s="31"/>
      <c r="F28" s="31"/>
      <c r="G28" s="31"/>
    </row>
    <row r="29" spans="3:7" x14ac:dyDescent="0.2">
      <c r="C29" s="28"/>
      <c r="D29" s="28"/>
      <c r="E29" s="31"/>
      <c r="F29" s="31"/>
      <c r="G29" s="31"/>
    </row>
    <row r="30" spans="3:7" x14ac:dyDescent="0.2">
      <c r="C30" s="28"/>
      <c r="D30" s="28"/>
      <c r="E30" s="31"/>
      <c r="F30" s="31"/>
      <c r="G30" s="31"/>
    </row>
    <row r="31" spans="3:7" x14ac:dyDescent="0.2">
      <c r="C31" s="28"/>
      <c r="D31" s="28"/>
      <c r="E31" s="31"/>
      <c r="F31" s="31"/>
      <c r="G31" s="31"/>
    </row>
    <row r="32" spans="3:7" x14ac:dyDescent="0.2">
      <c r="C32" s="28"/>
      <c r="D32" s="28"/>
      <c r="E32" s="31"/>
      <c r="F32" s="31"/>
      <c r="G32" s="31"/>
    </row>
    <row r="33" spans="3:7" x14ac:dyDescent="0.2">
      <c r="C33" s="28"/>
      <c r="D33" s="28"/>
      <c r="E33" s="31"/>
      <c r="F33" s="31"/>
      <c r="G33" s="31"/>
    </row>
    <row r="34" spans="3:7" x14ac:dyDescent="0.2">
      <c r="C34" s="28"/>
      <c r="D34" s="28"/>
      <c r="E34" s="31"/>
      <c r="F34" s="31"/>
      <c r="G34" s="31"/>
    </row>
    <row r="35" spans="3:7" x14ac:dyDescent="0.2">
      <c r="C35" s="28"/>
      <c r="D35" s="28"/>
      <c r="E35" s="31"/>
      <c r="F35" s="31"/>
      <c r="G35" s="31"/>
    </row>
    <row r="36" spans="3:7" x14ac:dyDescent="0.2">
      <c r="C36" s="28"/>
      <c r="D36" s="28"/>
      <c r="E36" s="31"/>
      <c r="F36" s="31"/>
      <c r="G36" s="31"/>
    </row>
    <row r="37" spans="3:7" x14ac:dyDescent="0.2">
      <c r="C37" s="28"/>
      <c r="D37" s="28"/>
      <c r="E37" s="31"/>
      <c r="F37" s="31"/>
      <c r="G37" s="31"/>
    </row>
    <row r="38" spans="3:7" x14ac:dyDescent="0.2">
      <c r="C38" s="28"/>
      <c r="D38" s="28"/>
      <c r="E38" s="31"/>
      <c r="F38" s="31"/>
      <c r="G38" s="31"/>
    </row>
    <row r="39" spans="3:7" x14ac:dyDescent="0.2">
      <c r="C39" s="28"/>
      <c r="D39" s="28"/>
      <c r="E39" s="31"/>
      <c r="F39" s="31"/>
      <c r="G39" s="31"/>
    </row>
    <row r="40" spans="3:7" x14ac:dyDescent="0.2">
      <c r="C40" s="28"/>
      <c r="D40" s="28"/>
      <c r="E40" s="31"/>
      <c r="F40" s="31"/>
      <c r="G40" s="31"/>
    </row>
    <row r="41" spans="3:7" x14ac:dyDescent="0.2">
      <c r="C41" s="28"/>
      <c r="D41" s="28"/>
      <c r="E41" s="31"/>
      <c r="F41" s="31"/>
      <c r="G41" s="31"/>
    </row>
    <row r="42" spans="3:7" x14ac:dyDescent="0.2">
      <c r="C42" s="28"/>
      <c r="D42" s="28"/>
      <c r="E42" s="31"/>
      <c r="F42" s="31"/>
      <c r="G42" s="31"/>
    </row>
    <row r="43" spans="3:7" x14ac:dyDescent="0.2">
      <c r="C43" s="28"/>
      <c r="D43" s="28"/>
      <c r="E43" s="31"/>
      <c r="F43" s="31"/>
      <c r="G43" s="31"/>
    </row>
    <row r="44" spans="3:7" x14ac:dyDescent="0.2">
      <c r="C44" s="28"/>
      <c r="D44" s="28"/>
      <c r="E44" s="31"/>
      <c r="F44" s="31"/>
      <c r="G44" s="31"/>
    </row>
    <row r="45" spans="3:7" x14ac:dyDescent="0.2">
      <c r="C45" s="28"/>
      <c r="D45" s="28"/>
      <c r="E45" s="31"/>
      <c r="F45" s="31"/>
      <c r="G45" s="31"/>
    </row>
  </sheetData>
  <sheetProtection password="BD27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tnCancelBill">
              <controlPr locked="0" defaultSize="0" print="0" autoFill="0" autoPict="0" macro="[0]!btnCancelBill_Click">
                <anchor>
                  <from>
                    <xdr:col>4</xdr:col>
                    <xdr:colOff>85725</xdr:colOff>
                    <xdr:row>3</xdr:row>
                    <xdr:rowOff>0</xdr:rowOff>
                  </from>
                  <to>
                    <xdr:col>5</xdr:col>
                    <xdr:colOff>114300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tnCancelBill">
              <controlPr locked="0" defaultSize="0" print="0" autoFill="0" autoPict="0" macro="[0]!btnPrintCopy_Click">
                <anchor>
                  <from>
                    <xdr:col>5</xdr:col>
                    <xdr:colOff>171450</xdr:colOff>
                    <xdr:row>0</xdr:row>
                    <xdr:rowOff>152400</xdr:rowOff>
                  </from>
                  <to>
                    <xdr:col>6</xdr:col>
                    <xdr:colOff>361950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tnCancelBill">
              <controlPr locked="0" defaultSize="0" print="0" autoFill="0" autoPict="0" macro="[0]!btnPrintOriginal_Click">
                <anchor>
                  <from>
                    <xdr:col>4</xdr:col>
                    <xdr:colOff>85725</xdr:colOff>
                    <xdr:row>0</xdr:row>
                    <xdr:rowOff>152400</xdr:rowOff>
                  </from>
                  <to>
                    <xdr:col>5</xdr:col>
                    <xdr:colOff>114300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aper">
    <tabColor theme="0"/>
    <pageSetUpPr fitToPage="1"/>
  </sheetPr>
  <dimension ref="A2:F16"/>
  <sheetViews>
    <sheetView zoomScaleNormal="100" zoomScaleSheetLayoutView="100" workbookViewId="0"/>
  </sheetViews>
  <sheetFormatPr defaultRowHeight="12.75" x14ac:dyDescent="0.2"/>
  <cols>
    <col min="1" max="1" width="3.28515625" customWidth="1"/>
    <col min="2" max="2" width="15.85546875" customWidth="1"/>
    <col min="3" max="3" width="23.7109375" customWidth="1"/>
    <col min="4" max="4" width="11" bestFit="1" customWidth="1"/>
    <col min="5" max="5" width="7" bestFit="1" customWidth="1"/>
    <col min="6" max="6" width="12.85546875" bestFit="1" customWidth="1"/>
    <col min="7" max="7" width="1.28515625" customWidth="1"/>
    <col min="10" max="10" width="11.7109375" bestFit="1" customWidth="1"/>
  </cols>
  <sheetData>
    <row r="2" spans="1:6" ht="20.25" x14ac:dyDescent="0.3">
      <c r="B2" s="72" t="s">
        <v>148</v>
      </c>
      <c r="C2" s="72"/>
      <c r="D2" s="72"/>
      <c r="E2" s="72"/>
      <c r="F2" s="72"/>
    </row>
    <row r="3" spans="1:6" x14ac:dyDescent="0.2">
      <c r="B3" s="73" t="s">
        <v>149</v>
      </c>
      <c r="C3" s="73"/>
      <c r="D3" s="73"/>
      <c r="E3" s="73"/>
      <c r="F3" s="73"/>
    </row>
    <row r="5" spans="1:6" x14ac:dyDescent="0.2">
      <c r="B5" t="s">
        <v>150</v>
      </c>
      <c r="E5" s="9" t="s">
        <v>193</v>
      </c>
      <c r="F5" s="45" t="s">
        <v>194</v>
      </c>
    </row>
    <row r="6" spans="1:6" x14ac:dyDescent="0.2">
      <c r="F6" s="45" t="s">
        <v>182</v>
      </c>
    </row>
    <row r="8" spans="1:6" x14ac:dyDescent="0.2">
      <c r="B8" s="74" t="s">
        <v>151</v>
      </c>
      <c r="C8" s="74"/>
      <c r="D8" s="74"/>
      <c r="E8" s="74"/>
      <c r="F8" s="74"/>
    </row>
    <row r="10" spans="1:6" x14ac:dyDescent="0.2">
      <c r="A10" t="s">
        <v>162</v>
      </c>
      <c r="B10" s="18" t="s">
        <v>156</v>
      </c>
      <c r="C10" s="18" t="s">
        <v>157</v>
      </c>
      <c r="D10" s="31" t="s">
        <v>159</v>
      </c>
      <c r="E10" s="18" t="s">
        <v>158</v>
      </c>
      <c r="F10" s="31" t="s">
        <v>160</v>
      </c>
    </row>
    <row r="11" spans="1:6" ht="25.5" x14ac:dyDescent="0.2">
      <c r="A11" t="s">
        <v>26</v>
      </c>
      <c r="B11" s="44" t="s">
        <v>161</v>
      </c>
      <c r="C11" s="58" t="s">
        <v>91</v>
      </c>
      <c r="D11" s="34">
        <v>99999.99</v>
      </c>
      <c r="E11" s="24">
        <v>999.99</v>
      </c>
      <c r="F11" s="43">
        <v>99999.99</v>
      </c>
    </row>
    <row r="13" spans="1:6" x14ac:dyDescent="0.2">
      <c r="D13" s="9" t="s">
        <v>51</v>
      </c>
      <c r="F13" s="31" t="s">
        <v>152</v>
      </c>
    </row>
    <row r="14" spans="1:6" x14ac:dyDescent="0.2">
      <c r="D14" s="9" t="s">
        <v>155</v>
      </c>
      <c r="F14" s="31" t="s">
        <v>153</v>
      </c>
    </row>
    <row r="15" spans="1:6" ht="23.25" customHeight="1" thickBot="1" x14ac:dyDescent="0.25">
      <c r="D15" s="32" t="s">
        <v>19</v>
      </c>
      <c r="F15" s="33" t="s">
        <v>154</v>
      </c>
    </row>
    <row r="16" spans="1:6" ht="13.5" thickTop="1" x14ac:dyDescent="0.2"/>
  </sheetData>
  <mergeCells count="3">
    <mergeCell ref="B2:F2"/>
    <mergeCell ref="B3:F3"/>
    <mergeCell ref="B8:F8"/>
  </mergeCells>
  <pageMargins left="0.23622047244094491" right="0.19685039370078741" top="0.15748031496062992" bottom="0" header="0" footer="0"/>
  <pageSetup paperSize="1297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Config">
    <tabColor rgb="FFFFC000"/>
  </sheetPr>
  <dimension ref="A1:I33"/>
  <sheetViews>
    <sheetView showGridLines="0" tabSelected="1" zoomScaleNormal="100" workbookViewId="0">
      <selection activeCell="B2" sqref="B2"/>
    </sheetView>
  </sheetViews>
  <sheetFormatPr defaultRowHeight="12.75" x14ac:dyDescent="0.2"/>
  <cols>
    <col min="1" max="1" width="19.140625" style="23" customWidth="1"/>
    <col min="2" max="2" width="15.85546875" style="23" customWidth="1"/>
    <col min="3" max="3" width="17.140625" style="23" customWidth="1"/>
    <col min="4" max="4" width="10.140625" style="23" customWidth="1"/>
    <col min="5" max="6" width="9.140625" style="23" customWidth="1"/>
    <col min="7" max="16384" width="9.140625" style="23"/>
  </cols>
  <sheetData>
    <row r="1" spans="1:9" ht="15" x14ac:dyDescent="0.25">
      <c r="A1" s="48" t="s">
        <v>6</v>
      </c>
      <c r="B1" s="47" t="s">
        <v>15</v>
      </c>
      <c r="D1" s="49" t="s">
        <v>2</v>
      </c>
      <c r="E1" s="50">
        <v>3</v>
      </c>
      <c r="F1" s="50">
        <v>1</v>
      </c>
    </row>
    <row r="2" spans="1:9" x14ac:dyDescent="0.2">
      <c r="A2" s="59" t="s">
        <v>17</v>
      </c>
      <c r="B2" s="61">
        <v>7.0000000000000007E-2</v>
      </c>
    </row>
    <row r="3" spans="1:9" ht="15" x14ac:dyDescent="0.25">
      <c r="A3" s="60" t="s">
        <v>11</v>
      </c>
      <c r="B3" s="51" t="s">
        <v>16</v>
      </c>
      <c r="D3" s="52" t="s">
        <v>21</v>
      </c>
      <c r="E3" s="75" t="s">
        <v>20</v>
      </c>
      <c r="F3" s="75"/>
      <c r="G3" s="75"/>
      <c r="H3" s="75"/>
      <c r="I3" s="75"/>
    </row>
    <row r="4" spans="1:9" x14ac:dyDescent="0.2">
      <c r="A4" s="59" t="s">
        <v>7</v>
      </c>
      <c r="B4" s="62">
        <v>1</v>
      </c>
      <c r="D4" s="52" t="s">
        <v>22</v>
      </c>
      <c r="E4" s="75" t="s">
        <v>23</v>
      </c>
      <c r="F4" s="75"/>
      <c r="G4" s="75"/>
      <c r="H4" s="75"/>
      <c r="I4" s="75"/>
    </row>
    <row r="5" spans="1:9" x14ac:dyDescent="0.2">
      <c r="A5" s="59" t="s">
        <v>8</v>
      </c>
      <c r="D5" s="52" t="s">
        <v>24</v>
      </c>
      <c r="E5" s="75" t="s">
        <v>197</v>
      </c>
      <c r="F5" s="75"/>
      <c r="G5" s="75"/>
      <c r="H5" s="75"/>
      <c r="I5" s="75"/>
    </row>
    <row r="6" spans="1:9" ht="15" x14ac:dyDescent="0.25">
      <c r="A6" s="59" t="s">
        <v>9</v>
      </c>
      <c r="B6" s="46" t="s">
        <v>183</v>
      </c>
      <c r="D6" s="52" t="s">
        <v>25</v>
      </c>
      <c r="E6" s="76" t="s">
        <v>27</v>
      </c>
      <c r="F6" s="76"/>
      <c r="G6" s="76"/>
      <c r="H6" s="76"/>
      <c r="I6" s="76"/>
    </row>
    <row r="7" spans="1:9" x14ac:dyDescent="0.2">
      <c r="A7" s="59" t="s">
        <v>10</v>
      </c>
      <c r="B7" s="62" t="s">
        <v>184</v>
      </c>
      <c r="D7" s="52" t="s">
        <v>199</v>
      </c>
      <c r="E7" s="75" t="s">
        <v>198</v>
      </c>
      <c r="F7" s="75"/>
      <c r="G7" s="75"/>
      <c r="H7" s="75"/>
      <c r="I7" s="75"/>
    </row>
    <row r="8" spans="1:9" x14ac:dyDescent="0.2">
      <c r="A8" s="59"/>
      <c r="D8" s="52"/>
      <c r="E8" s="53"/>
    </row>
    <row r="9" spans="1:9" ht="15" x14ac:dyDescent="0.25">
      <c r="A9" s="59"/>
      <c r="B9" s="47" t="s">
        <v>195</v>
      </c>
      <c r="D9" s="52"/>
      <c r="E9" s="53"/>
    </row>
    <row r="10" spans="1:9" x14ac:dyDescent="0.2">
      <c r="A10" s="59"/>
      <c r="B10" s="62" t="s">
        <v>196</v>
      </c>
      <c r="D10" s="52"/>
      <c r="E10" s="53"/>
    </row>
    <row r="11" spans="1:9" x14ac:dyDescent="0.2">
      <c r="A11" s="59"/>
      <c r="D11" s="52"/>
      <c r="E11" s="53"/>
    </row>
    <row r="12" spans="1:9" x14ac:dyDescent="0.2">
      <c r="A12" s="54"/>
      <c r="D12" s="53"/>
      <c r="E12" s="53"/>
    </row>
    <row r="13" spans="1:9" x14ac:dyDescent="0.2">
      <c r="A13" s="54"/>
      <c r="D13" s="53"/>
      <c r="E13" s="53"/>
    </row>
    <row r="14" spans="1:9" x14ac:dyDescent="0.2">
      <c r="A14" s="54"/>
      <c r="D14" s="53"/>
      <c r="E14" s="53"/>
    </row>
    <row r="15" spans="1:9" x14ac:dyDescent="0.2">
      <c r="A15" s="54" t="s">
        <v>28</v>
      </c>
      <c r="D15" s="52"/>
      <c r="E15" s="53"/>
    </row>
    <row r="16" spans="1:9" x14ac:dyDescent="0.2">
      <c r="A16" s="66" t="s">
        <v>29</v>
      </c>
      <c r="B16" s="67"/>
      <c r="C16" s="68"/>
      <c r="D16" s="52"/>
      <c r="E16" s="53"/>
    </row>
    <row r="17" spans="1:5" x14ac:dyDescent="0.2">
      <c r="A17" s="54"/>
      <c r="D17" s="52"/>
      <c r="E17" s="53"/>
    </row>
    <row r="18" spans="1:5" x14ac:dyDescent="0.2">
      <c r="A18" s="55"/>
      <c r="D18" s="52"/>
      <c r="E18" s="53"/>
    </row>
    <row r="19" spans="1:5" x14ac:dyDescent="0.2">
      <c r="A19" s="55"/>
      <c r="D19" s="52"/>
      <c r="E19" s="53"/>
    </row>
    <row r="20" spans="1:5" x14ac:dyDescent="0.2">
      <c r="A20" s="55"/>
      <c r="D20" s="56"/>
    </row>
    <row r="21" spans="1:5" x14ac:dyDescent="0.2">
      <c r="A21" s="55"/>
    </row>
    <row r="22" spans="1:5" x14ac:dyDescent="0.2">
      <c r="A22" s="55"/>
    </row>
    <row r="23" spans="1:5" x14ac:dyDescent="0.2">
      <c r="A23" s="55"/>
    </row>
    <row r="24" spans="1:5" x14ac:dyDescent="0.2">
      <c r="A24" s="55"/>
    </row>
    <row r="25" spans="1:5" x14ac:dyDescent="0.2">
      <c r="A25" s="55"/>
    </row>
    <row r="26" spans="1:5" x14ac:dyDescent="0.2">
      <c r="A26" s="55"/>
    </row>
    <row r="27" spans="1:5" x14ac:dyDescent="0.2">
      <c r="A27" s="55"/>
    </row>
    <row r="28" spans="1:5" x14ac:dyDescent="0.2">
      <c r="A28" s="55"/>
    </row>
    <row r="29" spans="1:5" x14ac:dyDescent="0.2">
      <c r="A29" s="55"/>
    </row>
    <row r="30" spans="1:5" x14ac:dyDescent="0.2">
      <c r="A30" s="55"/>
    </row>
    <row r="31" spans="1:5" x14ac:dyDescent="0.2">
      <c r="A31" s="55"/>
    </row>
    <row r="32" spans="1:5" x14ac:dyDescent="0.2">
      <c r="A32" s="55"/>
    </row>
    <row r="33" spans="1:1" x14ac:dyDescent="0.2">
      <c r="A33" s="55"/>
    </row>
  </sheetData>
  <sheetProtection password="957F" sheet="1" objects="1" scenarios="1"/>
  <mergeCells count="5">
    <mergeCell ref="E3:I3"/>
    <mergeCell ref="E4:I4"/>
    <mergeCell ref="E5:I5"/>
    <mergeCell ref="E6:I6"/>
    <mergeCell ref="E7:I7"/>
  </mergeCells>
  <dataValidations disablePrompts="1" count="1">
    <dataValidation type="list" allowBlank="1" showInputMessage="1" showErrorMessage="1" sqref="B10">
      <formula1>"1.เปิดเสียง,2.ปิดเสียง"</formula1>
    </dataValidation>
  </dataValidations>
  <hyperlinks>
    <hyperlink ref="E4" r:id="rId1"/>
    <hyperlink ref="E6" r:id="rId2"/>
    <hyperlink ref="E5" r:id="rId3"/>
    <hyperlink ref="E7" r:id="rId4"/>
    <hyperlink ref="E4:I4" r:id="rId5" display="Charin Nawaritloha"/>
    <hyperlink ref="E3:I3" r:id="rId6" display="บิล123"/>
  </hyperlinks>
  <pageMargins left="0.7" right="0.7" top="0.75" bottom="0.75" header="0.3" footer="0.3"/>
  <pageSetup paperSize="9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btnBrowse_Click">
                <anchor moveWithCells="1">
                  <from>
                    <xdr:col>2</xdr:col>
                    <xdr:colOff>333375</xdr:colOff>
                    <xdr:row>16</xdr:row>
                    <xdr:rowOff>38100</xdr:rowOff>
                  </from>
                  <to>
                    <xdr:col>2</xdr:col>
                    <xdr:colOff>1133475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oduct"/>
  <dimension ref="A1:D47"/>
  <sheetViews>
    <sheetView workbookViewId="0">
      <selection activeCell="A37" sqref="A37"/>
    </sheetView>
  </sheetViews>
  <sheetFormatPr defaultRowHeight="12.75" x14ac:dyDescent="0.2"/>
  <cols>
    <col min="1" max="1" width="23.5703125" customWidth="1"/>
    <col min="2" max="2" width="39.85546875" customWidth="1"/>
    <col min="3" max="3" width="12.42578125" style="18" customWidth="1"/>
    <col min="4" max="4" width="12" customWidth="1"/>
  </cols>
  <sheetData>
    <row r="1" spans="1:4" x14ac:dyDescent="0.2">
      <c r="A1" t="s">
        <v>47</v>
      </c>
      <c r="B1" t="s">
        <v>48</v>
      </c>
      <c r="C1" s="18" t="s">
        <v>49</v>
      </c>
      <c r="D1" t="s">
        <v>52</v>
      </c>
    </row>
    <row r="2" spans="1:4" x14ac:dyDescent="0.2">
      <c r="A2" s="28" t="s">
        <v>50</v>
      </c>
      <c r="B2" t="s">
        <v>55</v>
      </c>
      <c r="C2" s="18">
        <v>10</v>
      </c>
      <c r="D2">
        <v>9</v>
      </c>
    </row>
    <row r="3" spans="1:4" x14ac:dyDescent="0.2">
      <c r="A3" s="28" t="s">
        <v>56</v>
      </c>
      <c r="B3" t="s">
        <v>57</v>
      </c>
      <c r="C3" s="18">
        <v>10</v>
      </c>
      <c r="D3">
        <v>7</v>
      </c>
    </row>
    <row r="4" spans="1:4" x14ac:dyDescent="0.2">
      <c r="A4" s="28" t="s">
        <v>58</v>
      </c>
      <c r="B4" t="s">
        <v>59</v>
      </c>
      <c r="C4" s="18">
        <v>10990</v>
      </c>
      <c r="D4">
        <v>8200</v>
      </c>
    </row>
    <row r="5" spans="1:4" x14ac:dyDescent="0.2">
      <c r="A5" s="28" t="s">
        <v>60</v>
      </c>
      <c r="B5" t="s">
        <v>59</v>
      </c>
      <c r="C5" s="18">
        <v>10990</v>
      </c>
      <c r="D5">
        <v>8200</v>
      </c>
    </row>
    <row r="6" spans="1:4" x14ac:dyDescent="0.2">
      <c r="A6" s="28" t="s">
        <v>61</v>
      </c>
      <c r="B6" t="s">
        <v>62</v>
      </c>
      <c r="C6" s="18">
        <v>7990</v>
      </c>
      <c r="D6">
        <v>5900</v>
      </c>
    </row>
    <row r="7" spans="1:4" x14ac:dyDescent="0.2">
      <c r="A7" s="28" t="s">
        <v>63</v>
      </c>
      <c r="B7" t="s">
        <v>64</v>
      </c>
      <c r="C7" s="18">
        <v>4990</v>
      </c>
      <c r="D7">
        <v>3700</v>
      </c>
    </row>
    <row r="8" spans="1:4" x14ac:dyDescent="0.2">
      <c r="A8" s="28" t="s">
        <v>65</v>
      </c>
      <c r="B8" t="s">
        <v>66</v>
      </c>
      <c r="C8" s="18">
        <v>10990</v>
      </c>
      <c r="D8">
        <v>8200</v>
      </c>
    </row>
    <row r="9" spans="1:4" x14ac:dyDescent="0.2">
      <c r="A9" s="28" t="s">
        <v>67</v>
      </c>
      <c r="B9" t="s">
        <v>68</v>
      </c>
      <c r="C9" s="18">
        <v>8990</v>
      </c>
      <c r="D9">
        <v>6700</v>
      </c>
    </row>
    <row r="10" spans="1:4" x14ac:dyDescent="0.2">
      <c r="A10" s="28" t="s">
        <v>69</v>
      </c>
      <c r="B10" t="s">
        <v>70</v>
      </c>
      <c r="C10" s="18">
        <v>13990</v>
      </c>
      <c r="D10">
        <v>10400</v>
      </c>
    </row>
    <row r="11" spans="1:4" x14ac:dyDescent="0.2">
      <c r="A11" s="28" t="s">
        <v>71</v>
      </c>
      <c r="B11" t="s">
        <v>72</v>
      </c>
      <c r="C11" s="18">
        <v>4990</v>
      </c>
      <c r="D11">
        <v>3700</v>
      </c>
    </row>
    <row r="12" spans="1:4" x14ac:dyDescent="0.2">
      <c r="A12" s="28" t="s">
        <v>73</v>
      </c>
      <c r="B12" t="s">
        <v>74</v>
      </c>
      <c r="C12" s="18">
        <v>6900</v>
      </c>
      <c r="D12">
        <v>5100</v>
      </c>
    </row>
    <row r="13" spans="1:4" x14ac:dyDescent="0.2">
      <c r="A13" s="28" t="s">
        <v>75</v>
      </c>
      <c r="B13" t="s">
        <v>76</v>
      </c>
      <c r="C13" s="18">
        <v>10990</v>
      </c>
      <c r="D13">
        <v>8200</v>
      </c>
    </row>
    <row r="14" spans="1:4" x14ac:dyDescent="0.2">
      <c r="A14" s="28" t="s">
        <v>77</v>
      </c>
      <c r="B14" t="s">
        <v>64</v>
      </c>
      <c r="C14" s="18">
        <v>4990</v>
      </c>
      <c r="D14">
        <v>3700</v>
      </c>
    </row>
    <row r="15" spans="1:4" x14ac:dyDescent="0.2">
      <c r="A15" s="28" t="s">
        <v>78</v>
      </c>
      <c r="B15" t="s">
        <v>62</v>
      </c>
      <c r="C15" s="18">
        <v>7990</v>
      </c>
      <c r="D15">
        <v>5900</v>
      </c>
    </row>
    <row r="16" spans="1:4" x14ac:dyDescent="0.2">
      <c r="A16" s="28" t="s">
        <v>79</v>
      </c>
      <c r="B16" t="s">
        <v>80</v>
      </c>
      <c r="C16" s="18">
        <v>9990</v>
      </c>
      <c r="D16">
        <v>7400</v>
      </c>
    </row>
    <row r="17" spans="1:4" x14ac:dyDescent="0.2">
      <c r="A17" s="28" t="s">
        <v>81</v>
      </c>
      <c r="B17" t="s">
        <v>82</v>
      </c>
      <c r="C17" s="18">
        <v>12990</v>
      </c>
      <c r="D17">
        <v>9700</v>
      </c>
    </row>
    <row r="18" spans="1:4" x14ac:dyDescent="0.2">
      <c r="A18" s="28" t="s">
        <v>83</v>
      </c>
      <c r="B18" t="s">
        <v>84</v>
      </c>
      <c r="C18" s="18">
        <v>9900</v>
      </c>
      <c r="D18">
        <v>7400</v>
      </c>
    </row>
    <row r="19" spans="1:4" x14ac:dyDescent="0.2">
      <c r="A19" s="28" t="s">
        <v>85</v>
      </c>
      <c r="B19" t="s">
        <v>84</v>
      </c>
      <c r="C19" s="18">
        <v>9900</v>
      </c>
      <c r="D19">
        <v>7400</v>
      </c>
    </row>
    <row r="20" spans="1:4" x14ac:dyDescent="0.2">
      <c r="A20" s="28" t="s">
        <v>86</v>
      </c>
      <c r="B20" t="s">
        <v>70</v>
      </c>
      <c r="C20" s="18">
        <v>13990</v>
      </c>
      <c r="D20">
        <v>10400</v>
      </c>
    </row>
    <row r="21" spans="1:4" x14ac:dyDescent="0.2">
      <c r="A21" s="28" t="s">
        <v>87</v>
      </c>
      <c r="B21" t="s">
        <v>68</v>
      </c>
      <c r="C21" s="18">
        <v>8990</v>
      </c>
      <c r="D21">
        <v>6700</v>
      </c>
    </row>
    <row r="22" spans="1:4" x14ac:dyDescent="0.2">
      <c r="A22" s="28" t="s">
        <v>88</v>
      </c>
      <c r="B22" t="s">
        <v>74</v>
      </c>
      <c r="C22" s="18">
        <v>6900</v>
      </c>
      <c r="D22">
        <v>5100</v>
      </c>
    </row>
    <row r="23" spans="1:4" x14ac:dyDescent="0.2">
      <c r="A23" s="28" t="s">
        <v>89</v>
      </c>
      <c r="B23" t="s">
        <v>72</v>
      </c>
      <c r="C23" s="18">
        <v>4990</v>
      </c>
      <c r="D23">
        <v>3700</v>
      </c>
    </row>
    <row r="24" spans="1:4" x14ac:dyDescent="0.2">
      <c r="A24" s="28" t="s">
        <v>90</v>
      </c>
      <c r="B24" t="s">
        <v>91</v>
      </c>
      <c r="C24" s="18">
        <v>13990</v>
      </c>
      <c r="D24">
        <v>10400</v>
      </c>
    </row>
    <row r="25" spans="1:4" x14ac:dyDescent="0.2">
      <c r="A25" s="28" t="s">
        <v>92</v>
      </c>
      <c r="B25" t="s">
        <v>93</v>
      </c>
      <c r="C25" s="18">
        <v>20990</v>
      </c>
      <c r="D25">
        <v>15700</v>
      </c>
    </row>
    <row r="26" spans="1:4" x14ac:dyDescent="0.2">
      <c r="A26" s="28" t="s">
        <v>94</v>
      </c>
      <c r="B26" t="s">
        <v>95</v>
      </c>
      <c r="C26" s="18">
        <v>12990</v>
      </c>
      <c r="D26">
        <v>9700</v>
      </c>
    </row>
    <row r="27" spans="1:4" x14ac:dyDescent="0.2">
      <c r="A27" s="28" t="s">
        <v>96</v>
      </c>
      <c r="B27" t="s">
        <v>97</v>
      </c>
      <c r="C27" s="18">
        <v>12990</v>
      </c>
      <c r="D27">
        <v>9700</v>
      </c>
    </row>
    <row r="28" spans="1:4" x14ac:dyDescent="0.2">
      <c r="A28" s="28" t="s">
        <v>98</v>
      </c>
      <c r="B28" t="s">
        <v>99</v>
      </c>
      <c r="C28" s="18">
        <v>13990</v>
      </c>
      <c r="D28">
        <v>10400</v>
      </c>
    </row>
    <row r="29" spans="1:4" x14ac:dyDescent="0.2">
      <c r="A29" s="28" t="s">
        <v>100</v>
      </c>
      <c r="B29" t="s">
        <v>101</v>
      </c>
      <c r="C29" s="18">
        <v>8990</v>
      </c>
      <c r="D29">
        <v>6700</v>
      </c>
    </row>
    <row r="30" spans="1:4" x14ac:dyDescent="0.2">
      <c r="A30" s="28" t="s">
        <v>102</v>
      </c>
      <c r="B30" t="s">
        <v>103</v>
      </c>
      <c r="C30" s="18">
        <v>9990</v>
      </c>
      <c r="D30">
        <v>7400</v>
      </c>
    </row>
    <row r="31" spans="1:4" x14ac:dyDescent="0.2">
      <c r="A31" s="28" t="s">
        <v>104</v>
      </c>
      <c r="B31" t="s">
        <v>105</v>
      </c>
      <c r="C31" s="18">
        <v>12990</v>
      </c>
      <c r="D31">
        <v>9700</v>
      </c>
    </row>
    <row r="32" spans="1:4" x14ac:dyDescent="0.2">
      <c r="A32" s="28" t="s">
        <v>106</v>
      </c>
      <c r="B32" t="s">
        <v>107</v>
      </c>
      <c r="C32" s="18">
        <v>13990</v>
      </c>
      <c r="D32">
        <v>10400</v>
      </c>
    </row>
    <row r="33" spans="1:4" x14ac:dyDescent="0.2">
      <c r="A33" s="28" t="s">
        <v>108</v>
      </c>
      <c r="B33" t="s">
        <v>109</v>
      </c>
      <c r="C33" s="18">
        <v>23990</v>
      </c>
      <c r="D33">
        <v>17900</v>
      </c>
    </row>
    <row r="34" spans="1:4" x14ac:dyDescent="0.2">
      <c r="A34" s="28" t="s">
        <v>110</v>
      </c>
      <c r="B34" t="s">
        <v>111</v>
      </c>
      <c r="C34" s="18">
        <v>24990</v>
      </c>
      <c r="D34">
        <v>18700</v>
      </c>
    </row>
    <row r="35" spans="1:4" x14ac:dyDescent="0.2">
      <c r="A35" s="28" t="s">
        <v>112</v>
      </c>
      <c r="B35" t="s">
        <v>113</v>
      </c>
      <c r="C35" s="18">
        <v>22990</v>
      </c>
      <c r="D35">
        <v>17200</v>
      </c>
    </row>
    <row r="36" spans="1:4" x14ac:dyDescent="0.2">
      <c r="A36" s="28" t="s">
        <v>114</v>
      </c>
      <c r="B36" t="s">
        <v>115</v>
      </c>
      <c r="C36" s="18">
        <v>24990</v>
      </c>
      <c r="D36">
        <v>18700</v>
      </c>
    </row>
    <row r="37" spans="1:4" x14ac:dyDescent="0.2">
      <c r="A37" s="28" t="s">
        <v>116</v>
      </c>
      <c r="B37" t="s">
        <v>117</v>
      </c>
      <c r="C37" s="18">
        <v>22990</v>
      </c>
      <c r="D37">
        <v>17200</v>
      </c>
    </row>
    <row r="38" spans="1:4" x14ac:dyDescent="0.2">
      <c r="A38" s="28" t="s">
        <v>118</v>
      </c>
      <c r="B38" t="s">
        <v>119</v>
      </c>
      <c r="C38" s="18">
        <v>26990</v>
      </c>
      <c r="D38">
        <v>20200</v>
      </c>
    </row>
    <row r="39" spans="1:4" x14ac:dyDescent="0.2">
      <c r="A39" s="28" t="s">
        <v>120</v>
      </c>
      <c r="B39" t="s">
        <v>121</v>
      </c>
      <c r="C39" s="18">
        <v>19990</v>
      </c>
      <c r="D39">
        <v>14900</v>
      </c>
    </row>
    <row r="40" spans="1:4" x14ac:dyDescent="0.2">
      <c r="A40" s="28" t="s">
        <v>122</v>
      </c>
      <c r="B40" t="s">
        <v>123</v>
      </c>
      <c r="C40" s="18">
        <v>20990</v>
      </c>
      <c r="D40">
        <v>15700</v>
      </c>
    </row>
    <row r="41" spans="1:4" x14ac:dyDescent="0.2">
      <c r="A41" s="28" t="s">
        <v>124</v>
      </c>
      <c r="B41" t="s">
        <v>125</v>
      </c>
      <c r="C41" s="18">
        <v>22990</v>
      </c>
      <c r="D41">
        <v>17200</v>
      </c>
    </row>
    <row r="42" spans="1:4" x14ac:dyDescent="0.2">
      <c r="A42" s="28" t="s">
        <v>126</v>
      </c>
      <c r="B42" t="s">
        <v>127</v>
      </c>
      <c r="C42" s="18">
        <v>23990</v>
      </c>
      <c r="D42">
        <v>17900</v>
      </c>
    </row>
    <row r="43" spans="1:4" x14ac:dyDescent="0.2">
      <c r="A43" s="28" t="s">
        <v>128</v>
      </c>
      <c r="B43" t="s">
        <v>129</v>
      </c>
      <c r="C43" s="18">
        <v>32990</v>
      </c>
      <c r="D43">
        <v>24700</v>
      </c>
    </row>
    <row r="44" spans="1:4" x14ac:dyDescent="0.2">
      <c r="A44" s="28" t="s">
        <v>130</v>
      </c>
      <c r="B44" t="s">
        <v>131</v>
      </c>
      <c r="C44" s="18">
        <v>32990</v>
      </c>
      <c r="D44">
        <v>24700</v>
      </c>
    </row>
    <row r="45" spans="1:4" x14ac:dyDescent="0.2">
      <c r="A45" s="28" t="s">
        <v>132</v>
      </c>
      <c r="B45" t="s">
        <v>133</v>
      </c>
      <c r="C45" s="18">
        <v>21990</v>
      </c>
      <c r="D45">
        <v>16400</v>
      </c>
    </row>
    <row r="46" spans="1:4" x14ac:dyDescent="0.2">
      <c r="A46" s="28" t="s">
        <v>134</v>
      </c>
      <c r="B46" t="s">
        <v>135</v>
      </c>
      <c r="C46" s="18">
        <v>22990</v>
      </c>
      <c r="D46">
        <v>17200</v>
      </c>
    </row>
    <row r="47" spans="1:4" x14ac:dyDescent="0.2">
      <c r="A47" s="28" t="s">
        <v>136</v>
      </c>
      <c r="B47" t="s">
        <v>137</v>
      </c>
      <c r="C47" s="18">
        <v>29990</v>
      </c>
      <c r="D47">
        <v>22400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MessageText"/>
  <dimension ref="A1:D29"/>
  <sheetViews>
    <sheetView workbookViewId="0">
      <selection activeCell="B12" sqref="B12"/>
    </sheetView>
  </sheetViews>
  <sheetFormatPr defaultRowHeight="12.75" x14ac:dyDescent="0.2"/>
  <cols>
    <col min="1" max="1" width="2" style="18" customWidth="1"/>
    <col min="2" max="2" width="21" style="18" customWidth="1"/>
    <col min="3" max="3" width="27.7109375" style="18" customWidth="1"/>
    <col min="4" max="4" width="41.28515625" style="18" customWidth="1"/>
    <col min="5" max="5" width="9.140625" style="18"/>
    <col min="6" max="6" width="13.85546875" style="18" bestFit="1" customWidth="1"/>
    <col min="7" max="16384" width="9.140625" style="18"/>
  </cols>
  <sheetData>
    <row r="1" spans="1:4" ht="12" customHeight="1" thickBot="1" x14ac:dyDescent="0.3">
      <c r="A1" s="17" t="s">
        <v>30</v>
      </c>
    </row>
    <row r="2" spans="1:4" ht="22.5" customHeight="1" thickBot="1" x14ac:dyDescent="0.25">
      <c r="B2" s="19" t="s">
        <v>31</v>
      </c>
    </row>
    <row r="3" spans="1:4" s="20" customFormat="1" ht="46.5" customHeight="1" x14ac:dyDescent="0.25">
      <c r="B3" s="20" t="s">
        <v>32</v>
      </c>
      <c r="C3" t="s">
        <v>33</v>
      </c>
      <c r="D3" s="20" t="s">
        <v>34</v>
      </c>
    </row>
    <row r="4" spans="1:4" x14ac:dyDescent="0.2">
      <c r="B4" s="21" t="s">
        <v>35</v>
      </c>
      <c r="C4" s="18" t="s">
        <v>35</v>
      </c>
      <c r="D4" s="18" t="s">
        <v>36</v>
      </c>
    </row>
    <row r="5" spans="1:4" x14ac:dyDescent="0.2">
      <c r="B5" s="21" t="s">
        <v>37</v>
      </c>
      <c r="C5" s="18" t="s">
        <v>37</v>
      </c>
      <c r="D5" s="18" t="s">
        <v>38</v>
      </c>
    </row>
    <row r="6" spans="1:4" x14ac:dyDescent="0.2">
      <c r="B6" s="21" t="s">
        <v>39</v>
      </c>
      <c r="C6" s="18" t="s">
        <v>39</v>
      </c>
      <c r="D6" s="18" t="s">
        <v>40</v>
      </c>
    </row>
    <row r="7" spans="1:4" x14ac:dyDescent="0.2">
      <c r="B7" s="21" t="s">
        <v>41</v>
      </c>
      <c r="C7" s="18" t="s">
        <v>41</v>
      </c>
      <c r="D7" s="18" t="s">
        <v>42</v>
      </c>
    </row>
    <row r="8" spans="1:4" x14ac:dyDescent="0.2">
      <c r="B8" s="22" t="s">
        <v>32</v>
      </c>
      <c r="C8" s="23" t="s">
        <v>43</v>
      </c>
      <c r="D8" s="23" t="s">
        <v>45</v>
      </c>
    </row>
    <row r="10" spans="1:4" ht="114.75" x14ac:dyDescent="0.2">
      <c r="B10" s="24" t="s">
        <v>44</v>
      </c>
      <c r="C10" s="24"/>
      <c r="D10" s="25" t="s">
        <v>46</v>
      </c>
    </row>
    <row r="11" spans="1:4" ht="25.5" x14ac:dyDescent="0.2">
      <c r="B11" s="24" t="s">
        <v>53</v>
      </c>
      <c r="C11" s="24"/>
      <c r="D11" s="25" t="s">
        <v>54</v>
      </c>
    </row>
    <row r="12" spans="1:4" ht="25.5" x14ac:dyDescent="0.2">
      <c r="B12" s="24" t="s">
        <v>138</v>
      </c>
      <c r="C12" s="25"/>
      <c r="D12" s="27" t="s">
        <v>139</v>
      </c>
    </row>
    <row r="13" spans="1:4" ht="57.75" customHeight="1" x14ac:dyDescent="0.2">
      <c r="B13" s="26" t="s">
        <v>140</v>
      </c>
      <c r="C13" s="27"/>
      <c r="D13" s="27" t="s">
        <v>141</v>
      </c>
    </row>
    <row r="14" spans="1:4" ht="38.25" x14ac:dyDescent="0.2">
      <c r="B14" s="26" t="s">
        <v>142</v>
      </c>
      <c r="D14" s="30" t="s">
        <v>143</v>
      </c>
    </row>
    <row r="15" spans="1:4" x14ac:dyDescent="0.2">
      <c r="B15" s="26" t="s">
        <v>144</v>
      </c>
      <c r="D15" s="27" t="s">
        <v>145</v>
      </c>
    </row>
    <row r="16" spans="1:4" ht="51" x14ac:dyDescent="0.2">
      <c r="B16" s="26" t="s">
        <v>146</v>
      </c>
      <c r="D16" s="27" t="s">
        <v>147</v>
      </c>
    </row>
    <row r="17" spans="2:4" x14ac:dyDescent="0.2">
      <c r="B17" s="26" t="s">
        <v>164</v>
      </c>
      <c r="D17" s="27" t="s">
        <v>165</v>
      </c>
    </row>
    <row r="18" spans="2:4" ht="25.5" x14ac:dyDescent="0.2">
      <c r="B18" s="26" t="s">
        <v>168</v>
      </c>
      <c r="D18" s="27" t="s">
        <v>169</v>
      </c>
    </row>
    <row r="19" spans="2:4" x14ac:dyDescent="0.2">
      <c r="B19" s="26" t="s">
        <v>170</v>
      </c>
      <c r="D19" s="27" t="s">
        <v>171</v>
      </c>
    </row>
    <row r="20" spans="2:4" ht="25.5" x14ac:dyDescent="0.2">
      <c r="B20" s="26" t="s">
        <v>172</v>
      </c>
      <c r="D20" s="30" t="s">
        <v>173</v>
      </c>
    </row>
    <row r="21" spans="2:4" ht="25.5" x14ac:dyDescent="0.2">
      <c r="B21" s="26" t="s">
        <v>174</v>
      </c>
      <c r="D21" s="27" t="s">
        <v>175</v>
      </c>
    </row>
    <row r="22" spans="2:4" x14ac:dyDescent="0.2">
      <c r="B22" s="26" t="s">
        <v>176</v>
      </c>
      <c r="D22" s="27" t="s">
        <v>177</v>
      </c>
    </row>
    <row r="23" spans="2:4" ht="51" x14ac:dyDescent="0.2">
      <c r="B23" s="26" t="s">
        <v>178</v>
      </c>
      <c r="D23" s="30" t="s">
        <v>181</v>
      </c>
    </row>
    <row r="24" spans="2:4" x14ac:dyDescent="0.2">
      <c r="B24" s="26" t="s">
        <v>179</v>
      </c>
      <c r="D24" s="30" t="s">
        <v>180</v>
      </c>
    </row>
    <row r="26" spans="2:4" x14ac:dyDescent="0.2">
      <c r="B26" s="26" t="s">
        <v>185</v>
      </c>
      <c r="D26" s="18" t="s">
        <v>186</v>
      </c>
    </row>
    <row r="27" spans="2:4" x14ac:dyDescent="0.2">
      <c r="B27" s="26" t="s">
        <v>187</v>
      </c>
      <c r="D27" s="18" t="s">
        <v>188</v>
      </c>
    </row>
    <row r="28" spans="2:4" ht="63.75" x14ac:dyDescent="0.2">
      <c r="B28" s="26" t="s">
        <v>189</v>
      </c>
      <c r="D28" s="30" t="s">
        <v>190</v>
      </c>
    </row>
    <row r="29" spans="2:4" x14ac:dyDescent="0.2">
      <c r="B29" s="26" t="s">
        <v>191</v>
      </c>
      <c r="D29" s="27" t="s">
        <v>192</v>
      </c>
    </row>
  </sheetData>
  <hyperlinks>
    <hyperlink ref="B2" location="MessageText!B2" tooltip="Click to start rebuild text in format [title].[lang]" display="Rebuild Text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28</vt:i4>
      </vt:variant>
    </vt:vector>
  </HeadingPairs>
  <TitlesOfParts>
    <vt:vector size="33" baseType="lpstr">
      <vt:lpstr>สร้างรายการ</vt:lpstr>
      <vt:lpstr>พิมพ์-ยกเลิกรายการ</vt:lpstr>
      <vt:lpstr>paper</vt:lpstr>
      <vt:lpstr>config</vt:lpstr>
      <vt:lpstr>MessageText</vt:lpstr>
      <vt:lpstr>สร้างรายการ!BEFORE_VAT</vt:lpstr>
      <vt:lpstr>configAges</vt:lpstr>
      <vt:lpstr>configAgeSelect</vt:lpstr>
      <vt:lpstr>configBeep</vt:lpstr>
      <vt:lpstr>configCalVAT</vt:lpstr>
      <vt:lpstr>configDB</vt:lpstr>
      <vt:lpstr>configPrintDate</vt:lpstr>
      <vt:lpstr>configSexSelect</vt:lpstr>
      <vt:lpstr>configVAT</vt:lpstr>
      <vt:lpstr>สร้างรายการ!formCurrentID</vt:lpstr>
      <vt:lpstr>สร้างรายการ!formCurrentNo</vt:lpstr>
      <vt:lpstr>สร้างรายการ!formCurrentQty</vt:lpstr>
      <vt:lpstr>'พิมพ์-ยกเลิกรายการ'!formInputBillId</vt:lpstr>
      <vt:lpstr>สร้างรายการ!formInputCustomer</vt:lpstr>
      <vt:lpstr>สร้างรายการ!formInputID</vt:lpstr>
      <vt:lpstr>สร้างรายการ!formInputPayment</vt:lpstr>
      <vt:lpstr>สร้างรายการ!formInputQty</vt:lpstr>
      <vt:lpstr>สร้างรายการ!GRAND_TOTAL</vt:lpstr>
      <vt:lpstr>'พิมพ์-ยกเลิกรายการ'!h_age</vt:lpstr>
      <vt:lpstr>'พิมพ์-ยกเลิกรายการ'!h_beforeVat</vt:lpstr>
      <vt:lpstr>'พิมพ์-ยกเลิกรายการ'!h_buyDate</vt:lpstr>
      <vt:lpstr>'พิมพ์-ยกเลิกรายการ'!h_buyer</vt:lpstr>
      <vt:lpstr>'พิมพ์-ยกเลิกรายการ'!h_sex</vt:lpstr>
      <vt:lpstr>'พิมพ์-ยกเลิกรายการ'!h_total</vt:lpstr>
      <vt:lpstr>'พิมพ์-ยกเลิกรายการ'!h_vat</vt:lpstr>
      <vt:lpstr>paper!Print_Area</vt:lpstr>
      <vt:lpstr>paper!Print_Titles</vt:lpstr>
      <vt:lpstr>สร้างรายการ!VAT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Charin</dc:creator>
  <cp:lastModifiedBy>Charin Nawaritloha</cp:lastModifiedBy>
  <cp:lastPrinted>2019-05-18T08:18:24Z</cp:lastPrinted>
  <dcterms:created xsi:type="dcterms:W3CDTF">2012-05-21T09:37:54Z</dcterms:created>
  <dcterms:modified xsi:type="dcterms:W3CDTF">2019-11-20T05:17:45Z</dcterms:modified>
</cp:coreProperties>
</file>