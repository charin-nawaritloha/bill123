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3155" yWindow="60" windowWidth="14295" windowHeight="10905"/>
  </bookViews>
  <sheets>
    <sheet name="Stock Card" sheetId="11" r:id="rId1"/>
    <sheet name="Sales Report 1" sheetId="14" r:id="rId2"/>
    <sheet name="PivotTable1" sheetId="17" r:id="rId3"/>
    <sheet name="Sales Report 2" sheetId="15" r:id="rId4"/>
    <sheet name="PivotTable2" sheetId="18" r:id="rId5"/>
    <sheet name="config" sheetId="6" r:id="rId6"/>
    <sheet name="MessageText" sheetId="12" state="hidden" r:id="rId7"/>
    <sheet name="คู่มือใช้งาน" sheetId="13" r:id="rId8"/>
  </sheets>
  <functionGroups builtInGroupCount="17"/>
  <definedNames>
    <definedName name="bill_completed.en" localSheetId="6" hidden="1">MessageText!$C$15</definedName>
    <definedName name="bill_completed.th" localSheetId="6" hidden="1">MessageText!$D$15</definedName>
    <definedName name="billId" localSheetId="1">'Sales Report 1'!$C$2</definedName>
    <definedName name="billId" localSheetId="3">'Sales Report 2'!$C$2</definedName>
    <definedName name="Cancel.en" localSheetId="6" hidden="1">MessageText!$C$7</definedName>
    <definedName name="Cancel.th" localSheetId="6" hidden="1">MessageText!$D$7</definedName>
    <definedName name="configDB">config!$B$2</definedName>
    <definedName name="connect_database_error.en" localSheetId="6" hidden="1">MessageText!$C$10</definedName>
    <definedName name="connect_database_error.th" localSheetId="6" hidden="1">MessageText!$D$10</definedName>
    <definedName name="displayItemId" localSheetId="0">'Stock Card'!$C$6</definedName>
    <definedName name="displayTitle" localSheetId="0">'Stock Card'!$C$7</definedName>
    <definedName name="formItemId" localSheetId="0">'Stock Card'!$C$2</definedName>
    <definedName name="formStartDate" localSheetId="1">'Sales Report 1'!$C$3</definedName>
    <definedName name="formStartDate" localSheetId="3">'Sales Report 2'!$C$3</definedName>
    <definedName name="formStartDate" localSheetId="0">'Stock Card'!$C$3</definedName>
    <definedName name="formStopDate" localSheetId="1">'Sales Report 1'!$D$3</definedName>
    <definedName name="formStopDate" localSheetId="3">'Sales Report 2'!$D$3</definedName>
    <definedName name="formStopDate" localSheetId="0">'Stock Card'!$D$3</definedName>
    <definedName name="missing_item_id.en" localSheetId="6" hidden="1">MessageText!$C$11</definedName>
    <definedName name="missing_item_id.th" localSheetId="6" hidden="1">MessageText!$D$11</definedName>
    <definedName name="No.en" localSheetId="6" hidden="1">MessageText!$C$5</definedName>
    <definedName name="No.th" localSheetId="6" hidden="1">MessageText!$D$5</definedName>
    <definedName name="no_stock_card_match.en" localSheetId="6" hidden="1">MessageText!$C$13</definedName>
    <definedName name="no_stock_card_match.th" localSheetId="6" hidden="1">MessageText!$D$13</definedName>
    <definedName name="OK.en" localSheetId="6" hidden="1">MessageText!$C$6</definedName>
    <definedName name="OK.th" localSheetId="6" hidden="1">MessageText!$D$6</definedName>
    <definedName name="productList">#REF!</definedName>
    <definedName name="sql_error.en" localSheetId="6" hidden="1">MessageText!$C$12</definedName>
    <definedName name="sql_error.th" localSheetId="6" hidden="1">MessageText!$D$12</definedName>
    <definedName name="stock_card_completed.en" localSheetId="6" hidden="1">MessageText!$C$14</definedName>
    <definedName name="stock_card_completed.th" localSheetId="6" hidden="1">MessageText!$D$14</definedName>
    <definedName name="Title.en" localSheetId="6" hidden="1">MessageText!$C$8</definedName>
    <definedName name="Title.th" localSheetId="6" hidden="1">MessageText!$D$8</definedName>
    <definedName name="unknow_product.en" localSheetId="6" hidden="1">MessageText!$C$16</definedName>
    <definedName name="unknow_product.th" localSheetId="6" hidden="1">MessageText!$D$16</definedName>
    <definedName name="Yes.en" localSheetId="6" hidden="1">MessageText!$C$4</definedName>
    <definedName name="Yes.th" localSheetId="6" hidden="1">MessageText!$D$4</definedName>
  </definedNames>
  <calcPr calcId="145621" refMode="R1C1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F19" i="11" l="1"/>
  <c r="C19" i="11"/>
</calcChain>
</file>

<file path=xl/comments1.xml><?xml version="1.0" encoding="utf-8"?>
<comments xmlns="http://schemas.openxmlformats.org/spreadsheetml/2006/main">
  <authors>
    <author>Charin Nawaritloha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วันเริ่มต้น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วันสิ้นสุด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มูลค่าต้นทุนสินค้า</t>
        </r>
      </text>
    </comment>
  </commentList>
</comments>
</file>

<file path=xl/comments2.xml><?xml version="1.0" encoding="utf-8"?>
<comments xmlns="http://schemas.openxmlformats.org/spreadsheetml/2006/main">
  <authors>
    <author>Charin Nawaritloha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วันเริ่มต้น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วันสิ้นสุด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Charin Nawaritloha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วันเริ่มต้น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วันสิ้นสุด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>
      <text>
        <r>
          <rPr>
            <sz val="9"/>
            <color indexed="81"/>
            <rFont val="Tahoma"/>
            <family val="2"/>
          </rPr>
          <t>ต้นทุนสินค้า/หน่วย</t>
        </r>
      </text>
    </comment>
    <comment ref="J8" authorId="0">
      <text>
        <r>
          <rPr>
            <b/>
            <sz val="9"/>
            <color indexed="81"/>
            <rFont val="Tahoma"/>
            <family val="2"/>
          </rPr>
          <t>ต้นทุนรวม</t>
        </r>
      </text>
    </comment>
  </commentList>
</comments>
</file>

<file path=xl/sharedStrings.xml><?xml version="1.0" encoding="utf-8"?>
<sst xmlns="http://schemas.openxmlformats.org/spreadsheetml/2006/main" count="117" uniqueCount="91">
  <si>
    <t>บิล123</t>
  </si>
  <si>
    <t>เกี่ยวกับ</t>
  </si>
  <si>
    <t>พัฒนาโดย</t>
  </si>
  <si>
    <t>Charin Nawaritloha</t>
  </si>
  <si>
    <t>บล๊อก</t>
  </si>
  <si>
    <t>Facebook</t>
  </si>
  <si>
    <t>https://fb.com/msg/made2order.duck</t>
  </si>
  <si>
    <t>ไฟล์ Database</t>
  </si>
  <si>
    <t>bill123.mdb</t>
  </si>
  <si>
    <t>.</t>
  </si>
  <si>
    <t>Rebuild Text</t>
  </si>
  <si>
    <t>Title</t>
  </si>
  <si>
    <t>en</t>
  </si>
  <si>
    <t>th</t>
  </si>
  <si>
    <t>Yes</t>
  </si>
  <si>
    <t>ใช่</t>
  </si>
  <si>
    <t>No</t>
  </si>
  <si>
    <t>ไม่ใช่</t>
  </si>
  <si>
    <t>OK</t>
  </si>
  <si>
    <t>ตกลง</t>
  </si>
  <si>
    <t>Cancel</t>
  </si>
  <si>
    <t>ยกเลิก</t>
  </si>
  <si>
    <t>Application Name</t>
  </si>
  <si>
    <t>connect_database_error</t>
  </si>
  <si>
    <t>บิล123 (2.5.18)</t>
  </si>
  <si>
    <t>ไม่สามารถเชื่อมต่อฐานข้อมูลเพื่อดึงข้อมูลสินค้ามาใช้งานได้
โปรดตรวจสอบไฟล์ Database ใน Config ว่ามีอยู่จริงและไฟล์ไม่เสียหาย
ชื่อไฟล์: {1}
ปัญหาที่พบ: {2}</t>
  </si>
  <si>
    <t>ระบุตำแหน่งไฟล์</t>
  </si>
  <si>
    <t>1. เลือกไฟล์ฐานข้อมูลที่ต้องการใช้งานในชีท config</t>
  </si>
  <si>
    <t>ในกรณีที่ไฟล์ bill123.mdb อยู่ที่เดียวกับไฟล์ bill123_Products.xlsm สามารถใช้ชื่อไฟล์เพียงอย่างเดียวได้เลย</t>
  </si>
  <si>
    <t>ในกรณีที่อยู่คนละโฟลเดอร์ ให้คลิกที่                                         เพื่อเลือกไฟล์ฐานข้อมูล</t>
  </si>
  <si>
    <t xml:space="preserve">หากต้องการเก็บตำแหน่งไฟล์ที่เลือกไว้ใช้ครั้งต่อไป ให้บันทึกไฟล์ Excel </t>
  </si>
  <si>
    <t>รหัสสินค้า</t>
  </si>
  <si>
    <t>ชื่อสินค้า</t>
  </si>
  <si>
    <t>หมายเหตุ</t>
  </si>
  <si>
    <t>วันที่</t>
  </si>
  <si>
    <t>จำนวน</t>
  </si>
  <si>
    <t>ต้นทุน</t>
  </si>
  <si>
    <t>มูลค่า</t>
  </si>
  <si>
    <t>หมายเลขบิล</t>
  </si>
  <si>
    <t>Total</t>
  </si>
  <si>
    <t xml:space="preserve">รหัสสินค้า: </t>
  </si>
  <si>
    <t xml:space="preserve">ชื่อสินค้า: </t>
  </si>
  <si>
    <t>ราคาสินค้า</t>
  </si>
  <si>
    <t>VAT</t>
  </si>
  <si>
    <t>ราคารวม</t>
  </si>
  <si>
    <t>ชื่อผู้ซื้อ</t>
  </si>
  <si>
    <t>อายุ</t>
  </si>
  <si>
    <t>เพศ</t>
  </si>
  <si>
    <t>ราคาขาย</t>
  </si>
  <si>
    <t>รวมขายทั้งสิ้น</t>
  </si>
  <si>
    <t>หมายเลขบิล:</t>
  </si>
  <si>
    <t>วันที่:</t>
  </si>
  <si>
    <t>จำนวนรายการ</t>
  </si>
  <si>
    <t>รวมต้นทุน</t>
  </si>
  <si>
    <t>Row Labels</t>
  </si>
  <si>
    <t>Grand Total</t>
  </si>
  <si>
    <t>จำนวนรายการรวม</t>
  </si>
  <si>
    <t>ราคาสินค้ารวม</t>
  </si>
  <si>
    <t>VAT รวม</t>
  </si>
  <si>
    <t>ราคารวมทั้งสิ้น</t>
  </si>
  <si>
    <t>คงเหลือ</t>
  </si>
  <si>
    <t>missing_item_id</t>
  </si>
  <si>
    <t>โปรดระบุ รหัสสินค้า</t>
  </si>
  <si>
    <t>sql_error</t>
  </si>
  <si>
    <t>เกิดความผิดพลาดในฐานข้อมูล
ปัญหาที่พบ:
{1}</t>
  </si>
  <si>
    <t>no_stock_card_match</t>
  </si>
  <si>
    <t>ไม่พบข้อมูล Stock Card ตรงกับเงื่อนไขที่ระบุ</t>
  </si>
  <si>
    <t>stock_card_completed</t>
  </si>
  <si>
    <t>ทำการอ่าน Stock Card จากฐานข้อมูลเรียบร้อยแล้ว</t>
  </si>
  <si>
    <t>PCGNLST0001</t>
  </si>
  <si>
    <t xml:space="preserve">ACCER SWIFT SF113-31-P05F </t>
  </si>
  <si>
    <t>1234567890</t>
  </si>
  <si>
    <t>สินค้าตัวอย่าง</t>
  </si>
  <si>
    <t>PCGCPST0021</t>
  </si>
  <si>
    <t xml:space="preserve">ACCER ASPIRE E5-475G-332Q/T021 </t>
  </si>
  <si>
    <t>PCGFMST0008</t>
  </si>
  <si>
    <t xml:space="preserve">ACCER ASPIRE F5-573G-73YR/T008 </t>
  </si>
  <si>
    <t>PCGNNST0001</t>
  </si>
  <si>
    <t xml:space="preserve">ACCER SWIFT SF113-31-P1TS </t>
  </si>
  <si>
    <t>charin nawaritloha</t>
  </si>
  <si>
    <t>30 - 40 ปี</t>
  </si>
  <si>
    <t>m</t>
  </si>
  <si>
    <t>bill_completed</t>
  </si>
  <si>
    <t>ทำการอ่านข้อมูลการขายสินค้าเรียบร้อยแล้ว</t>
  </si>
  <si>
    <t>ผลรวมกำไร</t>
  </si>
  <si>
    <t>ไม่พบสินค้าตามรหัสที่ระบุมา โปรดตรวจสอบความถูกต้องแล้วลองใหม่อีกครั้ง</t>
  </si>
  <si>
    <t>unknow_product</t>
  </si>
  <si>
    <t>11</t>
  </si>
  <si>
    <t>https://charin-nawaritloha.github.io/excel-vba-notes/</t>
  </si>
  <si>
    <t>LINE</t>
  </si>
  <si>
    <t>https://line.me/R/ti/p/~pure88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</si>
</sst>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-[$฿-41E]* #,##0.00_-;\-[$฿-41E]* #,##0.00_-;_-[$฿-41E]* &quot;-&quot;??_-;_-@_-"/>
    <numFmt numFmtId="165" formatCode="_(* #,##0_);_(* \(#,##0\);_(* &quot;-&quot;??_);_(@_)"/>
    <numFmt numFmtId="166" formatCode="[$฿-41E]#,##0.00"/>
    <numFmt numFmtId="167" formatCode="yyyy/mm/dd"/>
  </numFmts>
  <fonts count="18" x14ac:knownFonts="1">
    <font>
      <sz val="10"/>
      <color theme="1"/>
      <name val="Leelawadee"/>
      <family val="2"/>
    </font>
    <font>
      <sz val="11"/>
      <color theme="1"/>
      <name val="Calibri"/>
      <family val="2"/>
      <scheme val="minor"/>
    </font>
    <font>
      <b/>
      <sz val="10"/>
      <color theme="1"/>
      <name val="Tahoma"/>
      <family val="2"/>
    </font>
    <font>
      <u/>
      <sz val="10"/>
      <color theme="10"/>
      <name val="Tahoma"/>
      <family val="2"/>
    </font>
    <font>
      <sz val="10"/>
      <color rgb="FF4374B7"/>
      <name val="Helvetica"/>
      <family val="2"/>
    </font>
    <font>
      <b/>
      <sz val="10"/>
      <color rgb="FF339966"/>
      <name val="Leelawadee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Tahoma"/>
      <family val="2"/>
    </font>
    <font>
      <b/>
      <sz val="11"/>
      <color rgb="FF0000FF"/>
      <name val="Tahoma"/>
      <family val="2"/>
    </font>
    <font>
      <sz val="11"/>
      <color rgb="FF3F3F76"/>
      <name val="Calibri"/>
      <family val="2"/>
      <scheme val="minor"/>
    </font>
    <font>
      <b/>
      <sz val="10"/>
      <color theme="1"/>
      <name val="Leelawadee"/>
      <family val="2"/>
    </font>
    <font>
      <sz val="16"/>
      <color theme="1"/>
      <name val="Leelawadee"/>
      <family val="2"/>
    </font>
    <font>
      <sz val="10"/>
      <color theme="1"/>
      <name val="Leelawade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Leelawadee"/>
      <family val="2"/>
    </font>
    <font>
      <u/>
      <sz val="10"/>
      <color theme="10"/>
      <name val="Leelawadee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theme="0" tint="-4.9989318521683403E-2"/>
      </left>
      <right style="medium">
        <color theme="0" tint="-0.499984740745262"/>
      </right>
      <top style="medium">
        <color theme="0" tint="-4.9989318521683403E-2"/>
      </top>
      <bottom style="medium">
        <color theme="0" tint="-0.499984740745262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0" fillId="4" borderId="2" applyNumberFormat="0" applyAlignment="0" applyProtection="0"/>
    <xf numFmtId="43" fontId="13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0" fontId="0" fillId="0" borderId="0" xfId="0" applyFill="1" applyProtection="1"/>
    <xf numFmtId="0" fontId="0" fillId="0" borderId="0" xfId="0" applyProtection="1"/>
    <xf numFmtId="0" fontId="3" fillId="0" borderId="0" xfId="1" applyAlignment="1" applyProtection="1"/>
    <xf numFmtId="0" fontId="2" fillId="0" borderId="0" xfId="0" applyFont="1" applyAlignment="1">
      <alignment horizontal="right"/>
    </xf>
    <xf numFmtId="0" fontId="4" fillId="0" borderId="0" xfId="0" applyFont="1"/>
    <xf numFmtId="0" fontId="7" fillId="0" borderId="0" xfId="0" applyFont="1"/>
    <xf numFmtId="0" fontId="0" fillId="0" borderId="0" xfId="0"/>
    <xf numFmtId="0" fontId="9" fillId="3" borderId="1" xfId="2" applyFont="1" applyFill="1" applyBorder="1" applyAlignment="1">
      <alignment horizontal="center" vertical="center"/>
    </xf>
    <xf numFmtId="0" fontId="6" fillId="0" borderId="0" xfId="0" applyFont="1"/>
    <xf numFmtId="0" fontId="0" fillId="2" borderId="0" xfId="0" applyFill="1"/>
    <xf numFmtId="0" fontId="0" fillId="2" borderId="0" xfId="0" applyFont="1" applyFill="1"/>
    <xf numFmtId="0" fontId="0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49" fontId="0" fillId="0" borderId="0" xfId="0" applyNumberFormat="1"/>
    <xf numFmtId="0" fontId="0" fillId="0" borderId="0" xfId="0" applyAlignment="1">
      <alignment wrapText="1"/>
    </xf>
    <xf numFmtId="0" fontId="2" fillId="3" borderId="5" xfId="1" applyFont="1" applyFill="1" applyBorder="1" applyAlignment="1" applyProtection="1">
      <alignment horizontal="center" vertical="center"/>
    </xf>
    <xf numFmtId="0" fontId="11" fillId="0" borderId="0" xfId="0" applyFont="1" applyFill="1" applyProtection="1"/>
    <xf numFmtId="0" fontId="12" fillId="0" borderId="0" xfId="0" applyFont="1"/>
    <xf numFmtId="40" fontId="0" fillId="0" borderId="0" xfId="0" applyNumberFormat="1"/>
    <xf numFmtId="14" fontId="0" fillId="0" borderId="0" xfId="0" applyNumberFormat="1"/>
    <xf numFmtId="0" fontId="11" fillId="0" borderId="0" xfId="0" applyFont="1" applyAlignment="1">
      <alignment horizontal="right"/>
    </xf>
    <xf numFmtId="164" fontId="0" fillId="0" borderId="0" xfId="0" applyNumberFormat="1"/>
    <xf numFmtId="0" fontId="10" fillId="4" borderId="2" xfId="3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166" fontId="0" fillId="0" borderId="0" xfId="0" applyNumberFormat="1"/>
    <xf numFmtId="3" fontId="0" fillId="0" borderId="0" xfId="0" applyNumberFormat="1"/>
    <xf numFmtId="167" fontId="10" fillId="4" borderId="2" xfId="3" applyNumberFormat="1"/>
    <xf numFmtId="0" fontId="11" fillId="0" borderId="0" xfId="0" applyFont="1"/>
    <xf numFmtId="40" fontId="0" fillId="0" borderId="0" xfId="4" applyNumberFormat="1" applyFont="1"/>
    <xf numFmtId="14" fontId="0" fillId="0" borderId="0" xfId="0" applyNumberFormat="1"/>
    <xf numFmtId="43" fontId="0" fillId="0" borderId="0" xfId="4" applyFont="1"/>
    <xf numFmtId="40" fontId="16" fillId="0" borderId="0" xfId="0" applyNumberFormat="1" applyFont="1"/>
    <xf numFmtId="0" fontId="0" fillId="0" borderId="0" xfId="4" applyNumberFormat="1" applyFont="1"/>
    <xf numFmtId="49" fontId="10" fillId="4" borderId="3" xfId="3" applyNumberFormat="1" applyBorder="1" applyAlignment="1"/>
    <xf numFmtId="49" fontId="10" fillId="4" borderId="4" xfId="3" applyNumberFormat="1" applyBorder="1" applyAlignment="1"/>
    <xf numFmtId="49" fontId="10" fillId="4" borderId="3" xfId="3" applyNumberFormat="1" applyBorder="1"/>
    <xf numFmtId="49" fontId="10" fillId="4" borderId="4" xfId="3" applyNumberFormat="1" applyBorder="1"/>
    <xf numFmtId="0" fontId="3" fillId="0" borderId="0" xfId="1" applyAlignment="1" applyProtection="1"/>
    <xf numFmtId="0" fontId="10" fillId="4" borderId="3" xfId="3" applyBorder="1" applyAlignment="1" applyProtection="1">
      <alignment horizontal="left" vertical="top" wrapText="1"/>
      <protection locked="0"/>
    </xf>
    <xf numFmtId="0" fontId="10" fillId="4" borderId="4" xfId="3" applyBorder="1" applyAlignment="1" applyProtection="1">
      <alignment horizontal="left" vertical="top" wrapText="1"/>
      <protection locked="0"/>
    </xf>
    <xf numFmtId="0" fontId="17" fillId="0" borderId="0" xfId="1" applyFont="1" applyAlignment="1" applyProtection="1"/>
  </cellXfs>
  <cellStyles count="6">
    <cellStyle name="Comma" xfId="4" builtinId="3"/>
    <cellStyle name="Hyperlink" xfId="1" builtinId="8"/>
    <cellStyle name="Hyperlink 2" xfId="2"/>
    <cellStyle name="Input" xfId="3" builtinId="20"/>
    <cellStyle name="Normal" xfId="0" builtinId="0" customBuiltin="1"/>
    <cellStyle name="Normal 2" xfId="5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68" formatCode="mm/d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eelawadee"/>
        <scheme val="none"/>
      </font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19" formatCode="m/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</xdr:row>
          <xdr:rowOff>66675</xdr:rowOff>
        </xdr:from>
        <xdr:to>
          <xdr:col>5</xdr:col>
          <xdr:colOff>323850</xdr:colOff>
          <xdr:row>2</xdr:row>
          <xdr:rowOff>104775</xdr:rowOff>
        </xdr:to>
        <xdr:sp macro="" textlink="">
          <xdr:nvSpPr>
            <xdr:cNvPr id="9218" name="btnStockCard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Leelawadee"/>
                  <a:cs typeface="Leelawadee"/>
                </a:rPr>
                <a:t>เรียกข้อมูล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85725</xdr:rowOff>
        </xdr:from>
        <xdr:to>
          <xdr:col>5</xdr:col>
          <xdr:colOff>209550</xdr:colOff>
          <xdr:row>2</xdr:row>
          <xdr:rowOff>123825</xdr:rowOff>
        </xdr:to>
        <xdr:sp macro="" textlink="">
          <xdr:nvSpPr>
            <xdr:cNvPr id="12291" name="Button UpdateProducts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Leelawadee"/>
                  <a:cs typeface="Leelawadee"/>
                </a:rPr>
                <a:t>เรียกข้อมูล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</xdr:row>
          <xdr:rowOff>66675</xdr:rowOff>
        </xdr:from>
        <xdr:to>
          <xdr:col>4</xdr:col>
          <xdr:colOff>1076325</xdr:colOff>
          <xdr:row>2</xdr:row>
          <xdr:rowOff>104775</xdr:rowOff>
        </xdr:to>
        <xdr:sp macro="" textlink="">
          <xdr:nvSpPr>
            <xdr:cNvPr id="13317" name="Button UpdateProducts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Leelawadee"/>
                  <a:cs typeface="Leelawadee"/>
                </a:rPr>
                <a:t>เรียกข้อมูล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</xdr:row>
      <xdr:rowOff>0</xdr:rowOff>
    </xdr:from>
    <xdr:to>
      <xdr:col>0</xdr:col>
      <xdr:colOff>569550</xdr:colOff>
      <xdr:row>2</xdr:row>
      <xdr:rowOff>7575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1714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3009900</xdr:colOff>
      <xdr:row>3</xdr:row>
      <xdr:rowOff>104775</xdr:rowOff>
    </xdr:from>
    <xdr:to>
      <xdr:col>4</xdr:col>
      <xdr:colOff>171450</xdr:colOff>
      <xdr:row>11</xdr:row>
      <xdr:rowOff>27810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48175" y="1019175"/>
          <a:ext cx="1066800" cy="1218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123825</xdr:rowOff>
    </xdr:from>
    <xdr:to>
      <xdr:col>2</xdr:col>
      <xdr:colOff>2270861</xdr:colOff>
      <xdr:row>23</xdr:row>
      <xdr:rowOff>142875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2009775"/>
          <a:ext cx="2270861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4</xdr:row>
      <xdr:rowOff>104775</xdr:rowOff>
    </xdr:from>
    <xdr:to>
      <xdr:col>14</xdr:col>
      <xdr:colOff>341946</xdr:colOff>
      <xdr:row>21</xdr:row>
      <xdr:rowOff>94907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752475"/>
          <a:ext cx="7628571" cy="274285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28575</xdr:colOff>
      <xdr:row>25</xdr:row>
      <xdr:rowOff>76200</xdr:rowOff>
    </xdr:from>
    <xdr:to>
      <xdr:col>14</xdr:col>
      <xdr:colOff>341946</xdr:colOff>
      <xdr:row>42</xdr:row>
      <xdr:rowOff>75856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8150" y="4124325"/>
          <a:ext cx="7628571" cy="2752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552450</xdr:colOff>
      <xdr:row>22</xdr:row>
      <xdr:rowOff>0</xdr:rowOff>
    </xdr:from>
    <xdr:to>
      <xdr:col>7</xdr:col>
      <xdr:colOff>180793</xdr:colOff>
      <xdr:row>25</xdr:row>
      <xdr:rowOff>28511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5" y="3562350"/>
          <a:ext cx="1457143" cy="514286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44</xdr:row>
      <xdr:rowOff>19050</xdr:rowOff>
    </xdr:from>
    <xdr:to>
      <xdr:col>7</xdr:col>
      <xdr:colOff>333358</xdr:colOff>
      <xdr:row>44</xdr:row>
      <xdr:rowOff>152383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7600" y="7239000"/>
          <a:ext cx="133333" cy="13333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arin Nawaritloha" refreshedDate="43572.682167476851" createdVersion="4" refreshedVersion="4" minRefreshableVersion="3" recordCount="1">
  <cacheSource type="worksheet">
    <worksheetSource name="TableHeader"/>
  </cacheSource>
  <cacheFields count="9">
    <cacheField name="วันที่" numFmtId="14">
      <sharedItems containsSemiMixedTypes="0" containsNonDate="0" containsDate="1" containsString="0" minDate="2018-05-29T21:34:07" maxDate="2018-05-29T21:34:07" count="1">
        <d v="2018-05-29T21:34:07"/>
      </sharedItems>
    </cacheField>
    <cacheField name="หมายเลขบิล" numFmtId="14">
      <sharedItems containsSemiMixedTypes="0" containsNonDate="0" containsDate="1" containsString="0" minDate="1900-01-10T00:00:00" maxDate="1900-01-11T00:00:00"/>
    </cacheField>
    <cacheField name="จำนวนรายการ" numFmtId="14">
      <sharedItems containsSemiMixedTypes="0" containsNonDate="0" containsDate="1" containsString="0" minDate="1900-01-03T00:00:00" maxDate="1900-01-04T00:00:00"/>
    </cacheField>
    <cacheField name="ราคาสินค้า" numFmtId="14">
      <sharedItems containsSemiMixedTypes="0" containsNonDate="0" containsDate="1" containsString="0" minDate="2309-02-13T21:45:25" maxDate="2309-02-13T21:45:25"/>
    </cacheField>
    <cacheField name="VAT" numFmtId="14">
      <sharedItems containsSemiMixedTypes="0" containsNonDate="0" containsDate="1" containsString="0" minDate="1928-08-20T02:14:35" maxDate="1928-08-20T02:14:35"/>
    </cacheField>
    <cacheField name="ราคารวม" numFmtId="14">
      <sharedItems containsSemiMixedTypes="0" containsNonDate="0" containsDate="1" containsString="0" minDate="2337-10-05T00:00:00" maxDate="2337-10-06T00:00:00"/>
    </cacheField>
    <cacheField name="ชื่อผู้ซื้อ" numFmtId="14">
      <sharedItems/>
    </cacheField>
    <cacheField name="อายุ" numFmtId="14">
      <sharedItems/>
    </cacheField>
    <cacheField name="เพศ" numFmtId="1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harin Nawaritloha" refreshedDate="43572.682215046298" createdVersion="4" refreshedVersion="4" minRefreshableVersion="3" recordCount="4">
  <cacheSource type="worksheet">
    <worksheetSource name="TableDetail"/>
  </cacheSource>
  <cacheFields count="10">
    <cacheField name="วันที่" numFmtId="14">
      <sharedItems containsSemiMixedTypes="0" containsNonDate="0" containsDate="1" containsString="0" minDate="2018-05-29T21:34:07" maxDate="2018-05-29T21:34:07"/>
    </cacheField>
    <cacheField name="หมายเลขบิล" numFmtId="14">
      <sharedItems containsSemiMixedTypes="0" containsNonDate="0" containsDate="1" containsString="0" minDate="1900-01-10T00:00:00" maxDate="1900-01-11T00:00:00"/>
    </cacheField>
    <cacheField name="รหัสสินค้า" numFmtId="14">
      <sharedItems containsBlank="1" count="30">
        <s v="PCGNNST0001"/>
        <s v="PCGNLST0001"/>
        <s v="PCGFMST0008"/>
        <s v="PCGCPST0021"/>
        <m u="1"/>
        <s v="PCGNVST0007" u="1"/>
        <s v="8802510267" u="1"/>
        <s v="PCGQLST0005" u="1"/>
        <s v="4802471007" u="1"/>
        <s v="8802510283" u="1"/>
        <s v="6944284622586" u="1"/>
        <s v="8802510284" u="1"/>
        <s v="6944284619005" u="1"/>
        <s v="8802510285" u="1"/>
        <s v="6944284623941" u="1"/>
        <s v="PCGQGST0001" u="1"/>
        <s v="6944284623545" u="1"/>
        <s v="31321321313" u="1"/>
        <s v="8802510289" u="1"/>
        <s v="6944284617735" u="1"/>
        <s v="8802510263" u="1"/>
        <s v="1234567890" u="1"/>
        <s v="6944284621336" u="1"/>
        <s v="8802510264" u="1"/>
        <s v="6944284624931" u="1"/>
        <s v="8802510280" u="1"/>
        <s v="8802510265" u="1"/>
        <s v="8802510281" u="1"/>
        <s v="6944284622098" u="1"/>
        <s v="4802471006" u="1"/>
      </sharedItems>
    </cacheField>
    <cacheField name="ชื่อสินค้า" numFmtId="14">
      <sharedItems containsBlank="1" count="22">
        <s v="ACCER SWIFT SF113-31-P1TS "/>
        <s v="ACCER SWIFT SF113-31-P05F "/>
        <s v="ACCER ASPIRE F5-573G-73YR/T008 "/>
        <s v="ACCER ASPIRE E5-475G-332Q/T021 "/>
        <m u="1"/>
        <s v="OPPOP A77 [CPH1715] " u="1"/>
        <s v="6165165165165161" u="1"/>
        <s v="OPPOP A37 [A37FW] " u="1"/>
        <s v="OPPOP R9S [CPH1607] " u="1"/>
        <s v="ACCER ASPIRE A315-21-442V " u="1"/>
        <s v="OPPOP A57 [CPH1701] " u="1"/>
        <s v="ACCER SWIFT SF314-52-52EW " u="1"/>
        <s v="OPPOP F5 6GB [CPH1727] " u="1"/>
        <s v="สินค้าตัวอย่าง" u="1"/>
        <s v="ACCER SWIFT 3 SF314-52-51G2 " u="1"/>
        <s v="OPPOP R9S PRO [CPH1613] " u="1"/>
        <s v="OPPOP F7 CPH1819 " u="1"/>
        <s v="OPPOP A71 2018 [CPH1801] " u="1"/>
        <s v="OPPOP F7 " u="1"/>
        <s v="OPPOP A83 [CPH1729] " u="1"/>
        <s v="OPPOP F5 YOUTH [CPH1725] " u="1"/>
        <s v="OPPOP F5 [CPH1723] " u="1"/>
      </sharedItems>
    </cacheField>
    <cacheField name="ราคาขาย" numFmtId="14">
      <sharedItems containsSemiMixedTypes="0" containsNonDate="0" containsDate="1" containsString="0" minDate="1935-07-25T00:00:00" maxDate="1957-06-20T00:00:00"/>
    </cacheField>
    <cacheField name="จำนวน" numFmtId="14">
      <sharedItems containsSemiMixedTypes="0" containsNonDate="0" containsDate="1" containsString="0" minDate="1899-12-31T00:00:00" maxDate="1900-01-05T00:00:00"/>
    </cacheField>
    <cacheField name="รวมขายทั้งสิ้น" numFmtId="14">
      <sharedItems containsSemiMixedTypes="0" containsNonDate="0" containsDate="1" containsString="0" minDate="1938-04-20T00:00:00" maxDate="2077-10-28T00:00:00"/>
    </cacheField>
    <cacheField name="ต้นทุน" numFmtId="14">
      <sharedItems containsSemiMixedTypes="0" containsNonDate="0" containsDate="1" containsString="0" minDate="1926-07-22T00:00:00" maxDate="1942-12-26T00:00:00"/>
    </cacheField>
    <cacheField name="รวมต้นทุน" numFmtId="14">
      <sharedItems containsSemiMixedTypes="0" containsNonDate="0" containsDate="1" containsString="0" minDate="1928-06-21T00:00:00" maxDate="2032-10-14T00:00:00"/>
    </cacheField>
    <cacheField name="กำไร" numFmtId="0" formula="รวมขายทั้งสิ้น-รวมต้นทุน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d v="1900-01-10T00:00:00"/>
    <d v="1900-01-03T00:00:00"/>
    <d v="2309-02-13T21:45:25"/>
    <d v="1928-08-20T02:14:35"/>
    <d v="2337-10-05T00:00:00"/>
    <s v="charin nawaritloha"/>
    <s v="30 - 40 ปี"/>
    <s v="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">
  <r>
    <d v="2018-05-29T21:34:07"/>
    <d v="1900-01-10T00:00:00"/>
    <x v="0"/>
    <x v="0"/>
    <d v="1935-07-25T00:00:00"/>
    <d v="1900-01-04T00:00:00"/>
    <d v="2077-10-27T00:00:00"/>
    <d v="1926-07-22T00:00:00"/>
    <d v="2032-10-13T00:00:00"/>
  </r>
  <r>
    <d v="2018-05-29T21:34:07"/>
    <d v="1900-01-10T00:00:00"/>
    <x v="1"/>
    <x v="1"/>
    <d v="1935-07-25T00:00:00"/>
    <d v="1900-01-02T00:00:00"/>
    <d v="2006-09-10T00:00:00"/>
    <d v="1926-07-22T00:00:00"/>
    <d v="1979-09-02T00:00:00"/>
  </r>
  <r>
    <d v="2018-05-29T21:34:07"/>
    <d v="1900-01-10T00:00:00"/>
    <x v="2"/>
    <x v="2"/>
    <d v="1957-06-19T00:00:00"/>
    <d v="1900-01-01T00:00:00"/>
    <d v="2014-12-07T00:00:00"/>
    <d v="1942-12-25T00:00:00"/>
    <d v="1985-12-19T00:00:00"/>
  </r>
  <r>
    <d v="2018-05-29T21:34:07"/>
    <d v="1900-01-10T00:00:00"/>
    <x v="3"/>
    <x v="3"/>
    <d v="1938-04-20T00:00:00"/>
    <d v="1899-12-31T00:00:00"/>
    <d v="1938-04-20T00:00:00"/>
    <d v="1928-06-21T00:00:00"/>
    <d v="1928-06-2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2:F4" firstHeaderRow="0" firstDataRow="1" firstDataCol="1"/>
  <pivotFields count="9">
    <pivotField axis="axisRow" numFmtId="14" showAll="0">
      <items count="2">
        <item x="0"/>
        <item t="default"/>
      </items>
    </pivotField>
    <pivotField showAll="0"/>
    <pivotField dataField="1" numFmtId="165" showAll="0"/>
    <pivotField dataField="1" numFmtId="164" showAll="0"/>
    <pivotField dataField="1" numFmtId="164" showAll="0"/>
    <pivotField dataField="1" numFmtId="164"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จำนวนรายการรวม" fld="2" baseField="0" baseItem="0" numFmtId="3"/>
    <dataField name="ราคาสินค้ารวม" fld="3" baseField="0" baseItem="0" numFmtId="164"/>
    <dataField name="VAT รวม" fld="4" baseField="0" baseItem="0" numFmtId="166"/>
    <dataField name="ราคารวมทั้งสิ้น" fld="5" baseField="0" baseItem="0" numFmtId="164"/>
  </dataField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showDrill="0" useAutoFormatting="1" rowGrandTotals="0" itemPrintTitles="1" createdVersion="4" indent="0" compact="0" compactData="0" multipleFieldFilters="0">
  <location ref="B2:D6" firstHeaderRow="1" firstDataRow="1" firstDataCol="2"/>
  <pivotFields count="10">
    <pivotField compact="0" numFmtId="14" outline="0" showAll="0" defaultSubtotal="0"/>
    <pivotField compact="0" outline="0" showAll="0" defaultSubtotal="0"/>
    <pivotField axis="axisRow" compact="0" outline="0" showAll="0" defaultSubtotal="0">
      <items count="30">
        <item m="1" x="21"/>
        <item m="1" x="17"/>
        <item m="1" x="29"/>
        <item m="1" x="8"/>
        <item m="1" x="19"/>
        <item m="1" x="12"/>
        <item m="1" x="22"/>
        <item m="1" x="28"/>
        <item m="1" x="10"/>
        <item m="1" x="16"/>
        <item m="1" x="14"/>
        <item m="1" x="24"/>
        <item m="1" x="20"/>
        <item m="1" x="23"/>
        <item m="1" x="26"/>
        <item m="1" x="6"/>
        <item m="1" x="25"/>
        <item m="1" x="27"/>
        <item m="1" x="9"/>
        <item m="1" x="11"/>
        <item m="1" x="13"/>
        <item m="1" x="18"/>
        <item x="3"/>
        <item x="2"/>
        <item x="1"/>
        <item x="0"/>
        <item m="1" x="5"/>
        <item m="1" x="15"/>
        <item m="1" x="7"/>
        <item m="1" x="4"/>
      </items>
    </pivotField>
    <pivotField axis="axisRow" compact="0" outline="0" showAll="0" defaultSubtotal="0">
      <items count="22">
        <item m="1" x="6"/>
        <item m="1" x="9"/>
        <item x="3"/>
        <item x="2"/>
        <item m="1" x="14"/>
        <item x="1"/>
        <item x="0"/>
        <item m="1" x="11"/>
        <item m="1" x="7"/>
        <item m="1" x="10"/>
        <item m="1" x="17"/>
        <item m="1" x="5"/>
        <item m="1" x="19"/>
        <item m="1" x="21"/>
        <item m="1" x="12"/>
        <item m="1" x="20"/>
        <item m="1" x="18"/>
        <item m="1" x="16"/>
        <item m="1" x="8"/>
        <item m="1" x="15"/>
        <item m="1" x="13"/>
        <item m="1" x="4"/>
      </items>
    </pivotField>
    <pivotField compact="0" numFmtId="164" outline="0" showAll="0" defaultSubtotal="0"/>
    <pivotField compact="0" numFmtId="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dataField="1" compact="0" outline="0" dragToRow="0" dragToCol="0" dragToPage="0" showAll="0" defaultSubtotal="0"/>
  </pivotFields>
  <rowFields count="2">
    <field x="2"/>
    <field x="3"/>
  </rowFields>
  <rowItems count="4">
    <i>
      <x v="22"/>
      <x v="2"/>
    </i>
    <i>
      <x v="23"/>
      <x v="3"/>
    </i>
    <i>
      <x v="24"/>
      <x v="5"/>
    </i>
    <i>
      <x v="25"/>
      <x v="6"/>
    </i>
  </rowItems>
  <colItems count="1">
    <i/>
  </colItems>
  <dataFields count="1">
    <dataField name="ผลรวมกำไร" fld="9" baseField="3" baseItem="20" numFmtId="164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StockCard" displayName="TableStockCard" ref="B9:G19" totalsRowCount="1">
  <autoFilter ref="B9:G18"/>
  <tableColumns count="6">
    <tableColumn id="1" name="วันที่" totalsRowLabel="Total" dataDxfId="16"/>
    <tableColumn id="2" name="จำนวน" totalsRowFunction="sum" dataDxfId="15" totalsRowDxfId="14"/>
    <tableColumn id="6" name="คงเหลือ" dataDxfId="13" totalsRowDxfId="12"/>
    <tableColumn id="3" name="หมายเลขบิล"/>
    <tableColumn id="4" name="มูลค่า" totalsRowFunction="sum" dataDxfId="11" totalsRowDxfId="10" dataCellStyle="Comma"/>
    <tableColumn id="5" name="หมายเหตุ"/>
  </tableColumns>
  <tableStyleInfo name="TableStyleLight16" showFirstColumn="1" showLastColumn="0" showRowStripes="1" showColumnStripes="0"/>
</table>
</file>

<file path=xl/tables/table2.xml><?xml version="1.0" encoding="utf-8"?>
<table xmlns="http://schemas.openxmlformats.org/spreadsheetml/2006/main" id="3" name="TableHeader" displayName="TableHeader" ref="B7:J8" totalsRowShown="0">
  <autoFilter ref="B7:J8"/>
  <tableColumns count="9">
    <tableColumn id="1" name="วันที่" dataDxfId="9"/>
    <tableColumn id="2" name="หมายเลขบิล" dataDxfId="8"/>
    <tableColumn id="3" name="จำนวนรายการ" dataDxfId="7" dataCellStyle="Comma"/>
    <tableColumn id="4" name="ราคาสินค้า" dataCellStyle="Comma"/>
    <tableColumn id="5" name="VAT" dataCellStyle="Comma"/>
    <tableColumn id="6" name="ราคารวม" dataCellStyle="Comma"/>
    <tableColumn id="7" name="ชื่อผู้ซื้อ" dataDxfId="6"/>
    <tableColumn id="8" name="อายุ" dataDxfId="5"/>
    <tableColumn id="9" name="เพศ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Detail" displayName="TableDetail" ref="B8:J12" totalsRowShown="0">
  <autoFilter ref="B8:J12"/>
  <tableColumns count="9">
    <tableColumn id="1" name="วันที่" dataDxfId="3"/>
    <tableColumn id="2" name="หมายเลขบิล" dataDxfId="2"/>
    <tableColumn id="9" name="รหัสสินค้า" dataDxfId="1"/>
    <tableColumn id="3" name="ชื่อสินค้า" dataDxfId="0"/>
    <tableColumn id="4" name="ราคาขาย" dataCellStyle="Comma"/>
    <tableColumn id="5" name="จำนวน" dataCellStyle="Comma"/>
    <tableColumn id="6" name="รวมขายทั้งสิ้น" dataCellStyle="Comma"/>
    <tableColumn id="7" name="ต้นทุน" dataCellStyle="Comma"/>
    <tableColumn id="8" name="รวมต้นทุน" dataCellStyle="Comm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charin-nawaritloha.github.io/excel-vba-notes/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s://fb.com/msg/made2order.duck" TargetMode="External"/><Relationship Id="rId1" Type="http://schemas.openxmlformats.org/officeDocument/2006/relationships/hyperlink" Target="https://plus.google.com/102833615283651496255" TargetMode="External"/><Relationship Id="rId6" Type="http://schemas.openxmlformats.org/officeDocument/2006/relationships/hyperlink" Target="https://charin-nawaritloha.github.io/excel-vba-notes/20190516_bill123_version_2.html" TargetMode="External"/><Relationship Id="rId5" Type="http://schemas.openxmlformats.org/officeDocument/2006/relationships/hyperlink" Target="https://charin-nawaritloha.github.io/excel-vba-notes/p/profiles.html" TargetMode="External"/><Relationship Id="rId4" Type="http://schemas.openxmlformats.org/officeDocument/2006/relationships/hyperlink" Target="https://line.me/R/ti/p/~pure88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StockCard">
    <tabColor theme="9" tint="-0.249977111117893"/>
    <pageSetUpPr fitToPage="1"/>
  </sheetPr>
  <dimension ref="B1:G19"/>
  <sheetViews>
    <sheetView showGridLines="0" tabSelected="1" workbookViewId="0">
      <pane ySplit="9" topLeftCell="A10" activePane="bottomLeft" state="frozen"/>
      <selection pane="bottomLeft" activeCell="C2" sqref="C2:D2"/>
    </sheetView>
  </sheetViews>
  <sheetFormatPr defaultRowHeight="12.75" x14ac:dyDescent="0.2"/>
  <cols>
    <col min="1" max="1" width="2.140625" customWidth="1"/>
    <col min="2" max="2" width="10.5703125" customWidth="1"/>
    <col min="3" max="3" width="13" customWidth="1"/>
    <col min="4" max="4" width="13.140625" customWidth="1"/>
    <col min="5" max="5" width="13.5703125" customWidth="1"/>
    <col min="6" max="6" width="15" customWidth="1"/>
    <col min="7" max="7" width="33.5703125" customWidth="1"/>
  </cols>
  <sheetData>
    <row r="1" spans="2:7" ht="6.75" customHeight="1" x14ac:dyDescent="0.2"/>
    <row r="2" spans="2:7" ht="15" x14ac:dyDescent="0.25">
      <c r="B2" s="33" t="s">
        <v>31</v>
      </c>
      <c r="C2" s="39" t="s">
        <v>71</v>
      </c>
      <c r="D2" s="40"/>
    </row>
    <row r="3" spans="2:7" ht="15" x14ac:dyDescent="0.25">
      <c r="B3" t="s">
        <v>34</v>
      </c>
      <c r="C3" s="32"/>
      <c r="D3" s="32"/>
    </row>
    <row r="6" spans="2:7" x14ac:dyDescent="0.2">
      <c r="B6" s="24" t="s">
        <v>40</v>
      </c>
      <c r="C6" s="17" t="s">
        <v>71</v>
      </c>
    </row>
    <row r="7" spans="2:7" x14ac:dyDescent="0.2">
      <c r="B7" s="24" t="s">
        <v>41</v>
      </c>
      <c r="C7" s="17" t="s">
        <v>72</v>
      </c>
    </row>
    <row r="9" spans="2:7" x14ac:dyDescent="0.2">
      <c r="B9" t="s">
        <v>34</v>
      </c>
      <c r="C9" t="s">
        <v>35</v>
      </c>
      <c r="D9" s="7" t="s">
        <v>60</v>
      </c>
      <c r="E9" t="s">
        <v>38</v>
      </c>
      <c r="F9" t="s">
        <v>37</v>
      </c>
      <c r="G9" t="s">
        <v>33</v>
      </c>
    </row>
    <row r="10" spans="2:7" x14ac:dyDescent="0.2">
      <c r="B10" s="35">
        <v>43237</v>
      </c>
      <c r="C10" s="22">
        <v>10</v>
      </c>
      <c r="D10" s="22">
        <v>10</v>
      </c>
      <c r="E10" s="7">
        <v>0</v>
      </c>
      <c r="F10" s="34"/>
      <c r="G10" s="7"/>
    </row>
    <row r="11" spans="2:7" x14ac:dyDescent="0.2">
      <c r="B11" s="35">
        <v>43237</v>
      </c>
      <c r="C11" s="22">
        <v>10</v>
      </c>
      <c r="D11" s="22">
        <v>20</v>
      </c>
      <c r="E11" s="7">
        <v>0</v>
      </c>
      <c r="F11" s="34"/>
      <c r="G11" s="7"/>
    </row>
    <row r="12" spans="2:7" x14ac:dyDescent="0.2">
      <c r="B12" s="35">
        <v>43237</v>
      </c>
      <c r="C12" s="22">
        <v>5</v>
      </c>
      <c r="D12" s="22">
        <v>25</v>
      </c>
      <c r="E12" s="7">
        <v>0</v>
      </c>
      <c r="F12" s="34"/>
      <c r="G12" s="7"/>
    </row>
    <row r="13" spans="2:7" x14ac:dyDescent="0.2">
      <c r="B13" s="35">
        <v>43250.474085648151</v>
      </c>
      <c r="C13" s="22">
        <v>-1</v>
      </c>
      <c r="D13" s="22">
        <v>24</v>
      </c>
      <c r="E13" s="7">
        <v>12</v>
      </c>
      <c r="F13" s="34">
        <v>-9</v>
      </c>
      <c r="G13" s="7"/>
    </row>
    <row r="14" spans="2:7" x14ac:dyDescent="0.2">
      <c r="B14" s="35">
        <v>43291.522812499999</v>
      </c>
      <c r="C14" s="22">
        <v>-10</v>
      </c>
      <c r="D14" s="22">
        <v>14</v>
      </c>
      <c r="E14" s="7">
        <v>13</v>
      </c>
      <c r="F14" s="34">
        <v>-90</v>
      </c>
      <c r="G14" s="7"/>
    </row>
    <row r="15" spans="2:7" x14ac:dyDescent="0.2">
      <c r="B15" s="35">
        <v>43567.745729166665</v>
      </c>
      <c r="C15" s="22">
        <v>-1</v>
      </c>
      <c r="D15" s="22">
        <v>13</v>
      </c>
      <c r="E15" s="7">
        <v>20</v>
      </c>
      <c r="F15" s="34">
        <v>-9</v>
      </c>
      <c r="G15" s="7"/>
    </row>
    <row r="16" spans="2:7" x14ac:dyDescent="0.2">
      <c r="B16" s="35">
        <v>43571</v>
      </c>
      <c r="C16" s="22">
        <v>80</v>
      </c>
      <c r="D16" s="22">
        <v>93</v>
      </c>
      <c r="E16" s="7">
        <v>0</v>
      </c>
      <c r="F16" s="34"/>
      <c r="G16" s="7"/>
    </row>
    <row r="17" spans="2:7" x14ac:dyDescent="0.2">
      <c r="B17" s="35">
        <v>43571</v>
      </c>
      <c r="C17" s="22">
        <v>-3</v>
      </c>
      <c r="D17" s="22">
        <v>90</v>
      </c>
      <c r="E17" s="7">
        <v>0</v>
      </c>
      <c r="F17" s="34"/>
      <c r="G17" s="7"/>
    </row>
    <row r="18" spans="2:7" x14ac:dyDescent="0.2">
      <c r="B18" s="35">
        <v>43571</v>
      </c>
      <c r="C18" s="22">
        <v>10</v>
      </c>
      <c r="D18" s="22">
        <v>100</v>
      </c>
      <c r="E18" s="7">
        <v>0</v>
      </c>
      <c r="F18" s="34"/>
      <c r="G18" s="7"/>
    </row>
    <row r="19" spans="2:7" x14ac:dyDescent="0.2">
      <c r="B19" t="s">
        <v>39</v>
      </c>
      <c r="C19" s="22">
        <f>SUBTOTAL(109,TableStockCard[จำนวน])</f>
        <v>100</v>
      </c>
      <c r="D19" s="22"/>
      <c r="E19" s="7"/>
      <c r="F19" s="37">
        <f>SUBTOTAL(109,TableStockCard[มูลค่า])</f>
        <v>-108</v>
      </c>
    </row>
  </sheetData>
  <mergeCells count="1">
    <mergeCell ref="C2:D2"/>
  </mergeCells>
  <dataValidations count="2">
    <dataValidation type="date" operator="greaterThan" allowBlank="1" showInputMessage="1" showErrorMessage="1" errorTitle="วันที่" error="โปรดระบุเป็นวันที่ เช่น _x000a_2018/12/31_x000a_2018-12-31" sqref="C3:D3">
      <formula1>36526</formula1>
    </dataValidation>
    <dataValidation allowBlank="1" showInputMessage="1" sqref="C2:D2"/>
  </dataValidations>
  <pageMargins left="0.7" right="0.7" top="0.75" bottom="0.75" header="0.3" footer="0.3"/>
  <pageSetup paperSize="9" scale="9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tnStockCard">
              <controlPr locked="0" defaultSize="0" print="0" autoFill="0" autoPict="0" macro="[0]!btnStockCard_Click">
                <anchor moveWithCells="1">
                  <from>
                    <xdr:col>4</xdr:col>
                    <xdr:colOff>257175</xdr:colOff>
                    <xdr:row>1</xdr:row>
                    <xdr:rowOff>66675</xdr:rowOff>
                  </from>
                  <to>
                    <xdr:col>5</xdr:col>
                    <xdr:colOff>323850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Sales1">
    <tabColor rgb="FF00B050"/>
  </sheetPr>
  <dimension ref="B1:J8"/>
  <sheetViews>
    <sheetView showGridLines="0" workbookViewId="0">
      <selection activeCell="C2" sqref="C2:D2"/>
    </sheetView>
  </sheetViews>
  <sheetFormatPr defaultRowHeight="12.75" x14ac:dyDescent="0.2"/>
  <cols>
    <col min="1" max="1" width="1.42578125" style="7" customWidth="1"/>
    <col min="2" max="2" width="11.5703125" style="7" bestFit="1" customWidth="1"/>
    <col min="3" max="3" width="13.28515625" style="7" bestFit="1" customWidth="1"/>
    <col min="4" max="4" width="15.42578125" style="7" bestFit="1" customWidth="1"/>
    <col min="5" max="5" width="12.42578125" style="7" bestFit="1" customWidth="1"/>
    <col min="6" max="6" width="11.42578125" style="7" bestFit="1" customWidth="1"/>
    <col min="7" max="7" width="14" style="7" bestFit="1" customWidth="1"/>
    <col min="8" max="8" width="30" style="7" bestFit="1" customWidth="1"/>
    <col min="9" max="9" width="17.42578125" style="7" customWidth="1"/>
    <col min="10" max="10" width="6.42578125" style="7" bestFit="1" customWidth="1"/>
    <col min="11" max="16384" width="9.140625" style="7"/>
  </cols>
  <sheetData>
    <row r="1" spans="2:10" ht="5.25" customHeight="1" x14ac:dyDescent="0.2"/>
    <row r="2" spans="2:10" ht="15" x14ac:dyDescent="0.25">
      <c r="B2" s="24" t="s">
        <v>50</v>
      </c>
      <c r="C2" s="39" t="s">
        <v>87</v>
      </c>
      <c r="D2" s="40"/>
    </row>
    <row r="3" spans="2:10" ht="15" x14ac:dyDescent="0.25">
      <c r="B3" s="24" t="s">
        <v>51</v>
      </c>
      <c r="C3" s="32"/>
      <c r="D3" s="32"/>
    </row>
    <row r="7" spans="2:10" x14ac:dyDescent="0.2">
      <c r="B7" s="7" t="s">
        <v>34</v>
      </c>
      <c r="C7" s="7" t="s">
        <v>38</v>
      </c>
      <c r="D7" s="7" t="s">
        <v>52</v>
      </c>
      <c r="E7" s="7" t="s">
        <v>42</v>
      </c>
      <c r="F7" s="7" t="s">
        <v>43</v>
      </c>
      <c r="G7" s="7" t="s">
        <v>44</v>
      </c>
      <c r="H7" s="7" t="s">
        <v>45</v>
      </c>
      <c r="I7" s="7" t="s">
        <v>46</v>
      </c>
      <c r="J7" s="7" t="s">
        <v>47</v>
      </c>
    </row>
    <row r="8" spans="2:10" x14ac:dyDescent="0.2">
      <c r="B8" s="23">
        <v>43249.898692129631</v>
      </c>
      <c r="C8" s="29">
        <v>11</v>
      </c>
      <c r="D8" s="38">
        <v>4</v>
      </c>
      <c r="E8" s="36">
        <v>149429.90654205601</v>
      </c>
      <c r="F8" s="36">
        <v>10460.0934579439</v>
      </c>
      <c r="G8" s="36">
        <v>159890</v>
      </c>
      <c r="H8" s="23" t="s">
        <v>79</v>
      </c>
      <c r="I8" s="23" t="s">
        <v>80</v>
      </c>
      <c r="J8" s="23" t="s">
        <v>81</v>
      </c>
    </row>
  </sheetData>
  <mergeCells count="1">
    <mergeCell ref="C2:D2"/>
  </mergeCells>
  <dataValidations count="2">
    <dataValidation type="date" operator="greaterThan" allowBlank="1" showInputMessage="1" showErrorMessage="1" errorTitle="วันที่" error="โปรดระบุเป็นวันที่ เช่น _x000a_2018/12/31_x000a_2018-12-31" sqref="C3:D3">
      <formula1>36526</formula1>
    </dataValidation>
    <dataValidation allowBlank="1" showInputMessage="1" sqref="C2:D2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UpdateProducts">
              <controlPr locked="0" defaultSize="0" print="0" autoFill="0" autoPict="0" macro="[0]!btnSales1_Click">
                <anchor moveWithCells="1">
                  <from>
                    <xdr:col>4</xdr:col>
                    <xdr:colOff>66675</xdr:colOff>
                    <xdr:row>1</xdr:row>
                    <xdr:rowOff>85725</xdr:rowOff>
                  </from>
                  <to>
                    <xdr:col>5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ivot1">
    <tabColor rgb="FF00B050"/>
  </sheetPr>
  <dimension ref="B2:F4"/>
  <sheetViews>
    <sheetView workbookViewId="0">
      <selection activeCell="B7" sqref="B7"/>
    </sheetView>
  </sheetViews>
  <sheetFormatPr defaultRowHeight="12.75" x14ac:dyDescent="0.2"/>
  <cols>
    <col min="1" max="1" width="1.5703125" customWidth="1"/>
    <col min="2" max="2" width="13.140625" bestFit="1" customWidth="1"/>
    <col min="3" max="3" width="16.42578125" customWidth="1"/>
    <col min="4" max="4" width="13.140625" customWidth="1"/>
    <col min="5" max="5" width="10.28515625" customWidth="1"/>
    <col min="6" max="6" width="13.140625" customWidth="1"/>
  </cols>
  <sheetData>
    <row r="2" spans="2:6" x14ac:dyDescent="0.2">
      <c r="B2" s="27" t="s">
        <v>54</v>
      </c>
      <c r="C2" s="7" t="s">
        <v>56</v>
      </c>
      <c r="D2" s="7" t="s">
        <v>57</v>
      </c>
      <c r="E2" s="7" t="s">
        <v>58</v>
      </c>
      <c r="F2" s="7" t="s">
        <v>59</v>
      </c>
    </row>
    <row r="3" spans="2:6" x14ac:dyDescent="0.2">
      <c r="B3" s="28">
        <v>43249.898692129631</v>
      </c>
      <c r="C3" s="31">
        <v>4</v>
      </c>
      <c r="D3" s="25">
        <v>149429.90653935185</v>
      </c>
      <c r="E3" s="30">
        <v>10460.093460648148</v>
      </c>
      <c r="F3" s="25">
        <v>159890</v>
      </c>
    </row>
    <row r="4" spans="2:6" x14ac:dyDescent="0.2">
      <c r="B4" s="28" t="s">
        <v>55</v>
      </c>
      <c r="C4" s="31">
        <v>4</v>
      </c>
      <c r="D4" s="25">
        <v>149429.90653935185</v>
      </c>
      <c r="E4" s="30">
        <v>10460.093460648148</v>
      </c>
      <c r="F4" s="25">
        <v>159890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Sales2">
    <tabColor rgb="FF00B0F0"/>
  </sheetPr>
  <dimension ref="A1:J12"/>
  <sheetViews>
    <sheetView workbookViewId="0">
      <selection activeCell="E30" sqref="E30"/>
    </sheetView>
  </sheetViews>
  <sheetFormatPr defaultRowHeight="12.75" x14ac:dyDescent="0.2"/>
  <cols>
    <col min="1" max="1" width="1.28515625" style="7" customWidth="1"/>
    <col min="2" max="2" width="11.5703125" bestFit="1" customWidth="1"/>
    <col min="3" max="3" width="13.28515625" bestFit="1" customWidth="1"/>
    <col min="4" max="4" width="16.28515625" style="7" customWidth="1"/>
    <col min="5" max="5" width="48" customWidth="1"/>
    <col min="6" max="6" width="11.42578125" bestFit="1" customWidth="1"/>
    <col min="7" max="7" width="10.7109375" bestFit="1" customWidth="1"/>
    <col min="8" max="8" width="14.5703125" bestFit="1" customWidth="1"/>
    <col min="9" max="10" width="13.7109375" customWidth="1"/>
  </cols>
  <sheetData>
    <row r="1" spans="2:10" s="7" customFormat="1" ht="5.25" customHeight="1" x14ac:dyDescent="0.2"/>
    <row r="2" spans="2:10" s="7" customFormat="1" ht="15" x14ac:dyDescent="0.25">
      <c r="B2" s="24" t="s">
        <v>50</v>
      </c>
      <c r="C2" s="41" t="s">
        <v>87</v>
      </c>
      <c r="D2" s="42"/>
    </row>
    <row r="3" spans="2:10" s="7" customFormat="1" ht="15" x14ac:dyDescent="0.25">
      <c r="B3" s="24" t="s">
        <v>51</v>
      </c>
      <c r="C3" s="26"/>
      <c r="D3" s="26"/>
    </row>
    <row r="4" spans="2:10" s="7" customFormat="1" x14ac:dyDescent="0.2"/>
    <row r="5" spans="2:10" s="7" customFormat="1" x14ac:dyDescent="0.2"/>
    <row r="6" spans="2:10" s="7" customFormat="1" x14ac:dyDescent="0.2"/>
    <row r="7" spans="2:10" s="7" customFormat="1" x14ac:dyDescent="0.2"/>
    <row r="8" spans="2:10" x14ac:dyDescent="0.2">
      <c r="B8" t="s">
        <v>34</v>
      </c>
      <c r="C8" t="s">
        <v>38</v>
      </c>
      <c r="D8" s="7" t="s">
        <v>31</v>
      </c>
      <c r="E8" t="s">
        <v>32</v>
      </c>
      <c r="F8" t="s">
        <v>48</v>
      </c>
      <c r="G8" t="s">
        <v>35</v>
      </c>
      <c r="H8" t="s">
        <v>49</v>
      </c>
      <c r="I8" t="s">
        <v>36</v>
      </c>
      <c r="J8" t="s">
        <v>53</v>
      </c>
    </row>
    <row r="9" spans="2:10" x14ac:dyDescent="0.2">
      <c r="B9" s="23">
        <v>43249.898692129631</v>
      </c>
      <c r="C9" s="29">
        <v>11</v>
      </c>
      <c r="D9" s="29" t="s">
        <v>77</v>
      </c>
      <c r="E9" s="29" t="s">
        <v>78</v>
      </c>
      <c r="F9" s="36">
        <v>12990</v>
      </c>
      <c r="G9" s="36">
        <v>5</v>
      </c>
      <c r="H9" s="36">
        <v>64950</v>
      </c>
      <c r="I9" s="36">
        <v>9700</v>
      </c>
      <c r="J9" s="36">
        <v>48500</v>
      </c>
    </row>
    <row r="10" spans="2:10" x14ac:dyDescent="0.2">
      <c r="B10" s="23">
        <v>43249.898692129631</v>
      </c>
      <c r="C10" s="29">
        <v>11</v>
      </c>
      <c r="D10" s="29" t="s">
        <v>69</v>
      </c>
      <c r="E10" s="29" t="s">
        <v>70</v>
      </c>
      <c r="F10" s="36">
        <v>12990</v>
      </c>
      <c r="G10" s="36">
        <v>3</v>
      </c>
      <c r="H10" s="36">
        <v>38970</v>
      </c>
      <c r="I10" s="36">
        <v>9700</v>
      </c>
      <c r="J10" s="36">
        <v>29100</v>
      </c>
    </row>
    <row r="11" spans="2:10" x14ac:dyDescent="0.2">
      <c r="B11" s="23">
        <v>43249.898692129631</v>
      </c>
      <c r="C11" s="29">
        <v>11</v>
      </c>
      <c r="D11" s="29" t="s">
        <v>75</v>
      </c>
      <c r="E11" s="29" t="s">
        <v>76</v>
      </c>
      <c r="F11" s="36">
        <v>20990</v>
      </c>
      <c r="G11" s="36">
        <v>2</v>
      </c>
      <c r="H11" s="36">
        <v>41980</v>
      </c>
      <c r="I11" s="36">
        <v>15700</v>
      </c>
      <c r="J11" s="36">
        <v>31400</v>
      </c>
    </row>
    <row r="12" spans="2:10" x14ac:dyDescent="0.2">
      <c r="B12" s="23">
        <v>43249.898692129631</v>
      </c>
      <c r="C12" s="29">
        <v>11</v>
      </c>
      <c r="D12" s="29" t="s">
        <v>73</v>
      </c>
      <c r="E12" s="29" t="s">
        <v>74</v>
      </c>
      <c r="F12" s="36">
        <v>13990</v>
      </c>
      <c r="G12" s="36">
        <v>1</v>
      </c>
      <c r="H12" s="36">
        <v>13990</v>
      </c>
      <c r="I12" s="36">
        <v>10400</v>
      </c>
      <c r="J12" s="36">
        <v>10400</v>
      </c>
    </row>
  </sheetData>
  <mergeCells count="1">
    <mergeCell ref="C2:D2"/>
  </mergeCells>
  <dataValidations count="1">
    <dataValidation type="date" operator="greaterThan" allowBlank="1" showInputMessage="1" showErrorMessage="1" errorTitle="วันที่" error="โปรดระบุเป็นวันที่ เช่น _x000a_2018/12/31_x000a_2018-12-31" sqref="C3:D3">
      <formula1>36526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7" r:id="rId4" name="Button UpdateProducts">
              <controlPr locked="0" defaultSize="0" print="0" autoFill="0" autoPict="0" macro="[0]!btnSales2_Click">
                <anchor moveWithCells="1">
                  <from>
                    <xdr:col>4</xdr:col>
                    <xdr:colOff>104775</xdr:colOff>
                    <xdr:row>1</xdr:row>
                    <xdr:rowOff>66675</xdr:rowOff>
                  </from>
                  <to>
                    <xdr:col>4</xdr:col>
                    <xdr:colOff>1076325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ivot2">
    <tabColor rgb="FF00B0F0"/>
  </sheetPr>
  <dimension ref="B2:D6"/>
  <sheetViews>
    <sheetView workbookViewId="0">
      <selection activeCell="B2" sqref="B2"/>
    </sheetView>
  </sheetViews>
  <sheetFormatPr defaultRowHeight="12.75" x14ac:dyDescent="0.2"/>
  <cols>
    <col min="1" max="1" width="1.5703125" customWidth="1"/>
    <col min="2" max="2" width="14.140625" bestFit="1" customWidth="1"/>
    <col min="3" max="3" width="31.5703125" bestFit="1" customWidth="1"/>
    <col min="4" max="4" width="11.42578125" customWidth="1"/>
    <col min="5" max="5" width="11.7109375" customWidth="1"/>
    <col min="6" max="6" width="10.7109375" customWidth="1"/>
    <col min="7" max="54" width="14.85546875" bestFit="1" customWidth="1"/>
    <col min="55" max="55" width="20.140625" bestFit="1" customWidth="1"/>
    <col min="56" max="56" width="17" bestFit="1" customWidth="1"/>
    <col min="57" max="57" width="16" bestFit="1" customWidth="1"/>
  </cols>
  <sheetData>
    <row r="2" spans="2:4" x14ac:dyDescent="0.2">
      <c r="B2" s="27" t="s">
        <v>31</v>
      </c>
      <c r="C2" s="27" t="s">
        <v>32</v>
      </c>
      <c r="D2" t="s">
        <v>84</v>
      </c>
    </row>
    <row r="3" spans="2:4" x14ac:dyDescent="0.2">
      <c r="B3" s="7" t="s">
        <v>73</v>
      </c>
      <c r="C3" s="7" t="s">
        <v>74</v>
      </c>
      <c r="D3" s="25">
        <v>3590</v>
      </c>
    </row>
    <row r="4" spans="2:4" x14ac:dyDescent="0.2">
      <c r="B4" s="7" t="s">
        <v>75</v>
      </c>
      <c r="C4" s="7" t="s">
        <v>76</v>
      </c>
      <c r="D4" s="25">
        <v>10580</v>
      </c>
    </row>
    <row r="5" spans="2:4" x14ac:dyDescent="0.2">
      <c r="B5" s="7" t="s">
        <v>69</v>
      </c>
      <c r="C5" s="7" t="s">
        <v>70</v>
      </c>
      <c r="D5" s="25">
        <v>9870</v>
      </c>
    </row>
    <row r="6" spans="2:4" x14ac:dyDescent="0.2">
      <c r="B6" s="7" t="s">
        <v>77</v>
      </c>
      <c r="C6" s="7" t="s">
        <v>78</v>
      </c>
      <c r="D6" s="25">
        <v>16450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nfig"/>
  <dimension ref="A1:G24"/>
  <sheetViews>
    <sheetView showGridLines="0" zoomScaleNormal="100" workbookViewId="0">
      <selection activeCell="B8" sqref="B8"/>
    </sheetView>
  </sheetViews>
  <sheetFormatPr defaultRowHeight="12.75" x14ac:dyDescent="0.2"/>
  <cols>
    <col min="1" max="1" width="9.140625" style="7"/>
    <col min="2" max="2" width="12.42578125" bestFit="1" customWidth="1"/>
    <col min="3" max="3" width="56.140625" customWidth="1"/>
    <col min="4" max="4" width="2.42578125" customWidth="1"/>
    <col min="5" max="5" width="19.42578125" customWidth="1"/>
    <col min="6" max="7" width="9.140625" customWidth="1"/>
  </cols>
  <sheetData>
    <row r="1" spans="2:7" ht="18.75" customHeight="1" thickBot="1" x14ac:dyDescent="0.25">
      <c r="B1" s="20" t="s">
        <v>7</v>
      </c>
      <c r="E1" s="7"/>
      <c r="F1" s="7"/>
      <c r="G1" s="7"/>
    </row>
    <row r="2" spans="2:7" ht="27.75" customHeight="1" thickBot="1" x14ac:dyDescent="0.25">
      <c r="B2" s="44" t="s">
        <v>8</v>
      </c>
      <c r="C2" s="45"/>
      <c r="E2" s="19" t="s">
        <v>26</v>
      </c>
    </row>
    <row r="3" spans="2:7" x14ac:dyDescent="0.2">
      <c r="B3" s="1"/>
    </row>
    <row r="4" spans="2:7" x14ac:dyDescent="0.2">
      <c r="B4" s="2"/>
    </row>
    <row r="5" spans="2:7" x14ac:dyDescent="0.2">
      <c r="B5" s="24" t="s">
        <v>1</v>
      </c>
      <c r="C5" s="43" t="s">
        <v>0</v>
      </c>
      <c r="D5" s="43"/>
      <c r="E5" s="43"/>
      <c r="F5" s="43"/>
      <c r="G5" s="43"/>
    </row>
    <row r="6" spans="2:7" x14ac:dyDescent="0.2">
      <c r="B6" s="24" t="s">
        <v>2</v>
      </c>
      <c r="C6" s="43" t="s">
        <v>3</v>
      </c>
      <c r="D6" s="43"/>
      <c r="E6" s="43"/>
      <c r="F6" s="43"/>
      <c r="G6" s="43"/>
    </row>
    <row r="7" spans="2:7" x14ac:dyDescent="0.2">
      <c r="B7" s="24" t="s">
        <v>4</v>
      </c>
      <c r="C7" s="43" t="s">
        <v>88</v>
      </c>
      <c r="D7" s="43"/>
      <c r="E7" s="43"/>
      <c r="F7" s="43"/>
      <c r="G7" s="43"/>
    </row>
    <row r="8" spans="2:7" x14ac:dyDescent="0.2">
      <c r="B8" s="24" t="s">
        <v>5</v>
      </c>
      <c r="C8" s="46" t="s">
        <v>6</v>
      </c>
      <c r="D8" s="46"/>
      <c r="E8" s="46"/>
      <c r="F8" s="46"/>
      <c r="G8" s="46"/>
    </row>
    <row r="9" spans="2:7" x14ac:dyDescent="0.2">
      <c r="B9" s="24" t="s">
        <v>89</v>
      </c>
      <c r="C9" s="43" t="s">
        <v>90</v>
      </c>
      <c r="D9" s="43"/>
      <c r="E9" s="43"/>
      <c r="F9" s="43"/>
      <c r="G9" s="43"/>
    </row>
    <row r="10" spans="2:7" x14ac:dyDescent="0.2">
      <c r="B10" s="4"/>
      <c r="C10" s="3"/>
      <c r="D10" s="7"/>
      <c r="E10" s="7"/>
      <c r="F10" s="7"/>
      <c r="G10" s="7"/>
    </row>
    <row r="11" spans="2:7" x14ac:dyDescent="0.2">
      <c r="B11" s="4"/>
      <c r="C11" s="3"/>
      <c r="D11" s="7"/>
      <c r="E11" s="7"/>
      <c r="F11" s="7"/>
      <c r="G11" s="7"/>
    </row>
    <row r="12" spans="2:7" x14ac:dyDescent="0.2">
      <c r="B12" s="4"/>
      <c r="C12" s="3"/>
      <c r="D12" s="7"/>
      <c r="E12" s="7"/>
      <c r="F12" s="7"/>
      <c r="G12" s="7"/>
    </row>
    <row r="13" spans="2:7" x14ac:dyDescent="0.2">
      <c r="B13" s="4"/>
      <c r="C13" s="3"/>
      <c r="D13" s="7"/>
      <c r="E13" s="7"/>
      <c r="F13" s="7"/>
      <c r="G13" s="7"/>
    </row>
    <row r="14" spans="2:7" x14ac:dyDescent="0.2">
      <c r="B14" s="3"/>
      <c r="C14" s="3"/>
      <c r="D14" s="7"/>
      <c r="E14" s="7"/>
      <c r="F14" s="7"/>
      <c r="G14" s="7"/>
    </row>
    <row r="15" spans="2:7" x14ac:dyDescent="0.2">
      <c r="B15" s="3"/>
      <c r="C15" s="3"/>
      <c r="D15" s="7"/>
      <c r="E15" s="7"/>
      <c r="F15" s="7"/>
      <c r="G15" s="7"/>
    </row>
    <row r="16" spans="2:7" x14ac:dyDescent="0.2">
      <c r="B16" s="3"/>
      <c r="C16" s="3"/>
      <c r="D16" s="7"/>
      <c r="E16" s="7"/>
      <c r="F16" s="7"/>
      <c r="G16" s="7"/>
    </row>
    <row r="17" spans="2:7" x14ac:dyDescent="0.2">
      <c r="B17" s="4"/>
      <c r="C17" s="3"/>
      <c r="D17" s="7"/>
      <c r="E17" s="7"/>
      <c r="F17" s="7"/>
      <c r="G17" s="7"/>
    </row>
    <row r="18" spans="2:7" x14ac:dyDescent="0.2">
      <c r="B18" s="4"/>
      <c r="C18" s="3"/>
      <c r="D18" s="7"/>
      <c r="E18" s="7"/>
      <c r="F18" s="7"/>
      <c r="G18" s="7"/>
    </row>
    <row r="19" spans="2:7" x14ac:dyDescent="0.2">
      <c r="B19" s="4"/>
      <c r="C19" s="3"/>
      <c r="D19" s="7"/>
      <c r="E19" s="7"/>
      <c r="F19" s="7"/>
      <c r="G19" s="7"/>
    </row>
    <row r="20" spans="2:7" x14ac:dyDescent="0.2">
      <c r="B20" s="4"/>
      <c r="C20" s="3"/>
      <c r="D20" s="7"/>
      <c r="E20" s="7"/>
      <c r="F20" s="7"/>
      <c r="G20" s="7"/>
    </row>
    <row r="21" spans="2:7" x14ac:dyDescent="0.2">
      <c r="B21" s="4"/>
      <c r="C21" s="3"/>
      <c r="D21" s="7"/>
      <c r="E21" s="7"/>
      <c r="F21" s="7"/>
      <c r="G21" s="7"/>
    </row>
    <row r="22" spans="2:7" x14ac:dyDescent="0.2">
      <c r="B22" s="5"/>
      <c r="C22" s="7"/>
      <c r="D22" s="7"/>
      <c r="E22" s="7"/>
      <c r="F22" s="7"/>
      <c r="G22" s="7"/>
    </row>
    <row r="23" spans="2:7" x14ac:dyDescent="0.2">
      <c r="B23" s="7"/>
      <c r="C23" s="7"/>
      <c r="D23" s="7"/>
      <c r="E23" s="7"/>
      <c r="F23" s="7"/>
      <c r="G23" s="7"/>
    </row>
    <row r="24" spans="2:7" x14ac:dyDescent="0.2">
      <c r="B24" s="7"/>
      <c r="C24" s="7"/>
      <c r="D24" s="7"/>
      <c r="E24" s="7"/>
      <c r="F24" s="7"/>
      <c r="G24" s="7"/>
    </row>
  </sheetData>
  <sheetProtection password="957F" sheet="1" objects="1" scenarios="1"/>
  <mergeCells count="6">
    <mergeCell ref="C9:G9"/>
    <mergeCell ref="B2:C2"/>
    <mergeCell ref="C5:G5"/>
    <mergeCell ref="C6:G6"/>
    <mergeCell ref="C7:G7"/>
    <mergeCell ref="C8:G8"/>
  </mergeCells>
  <hyperlinks>
    <hyperlink ref="E2" location="config!E2" display="ระบุตำแหน่งไฟล์"/>
    <hyperlink ref="C6" r:id="rId1"/>
    <hyperlink ref="C8" r:id="rId2"/>
    <hyperlink ref="C7" r:id="rId3"/>
    <hyperlink ref="C9" r:id="rId4"/>
    <hyperlink ref="C6:G6" r:id="rId5" display="Charin Nawaritloha"/>
    <hyperlink ref="C5:G5" r:id="rId6" display="บิล123"/>
  </hyperlinks>
  <pageMargins left="0.7" right="0.7" top="0.75" bottom="0.75" header="0.3" footer="0.3"/>
  <pageSetup paperSize="9" orientation="portrait" r:id="rId7"/>
  <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MessageText"/>
  <dimension ref="A1:D18"/>
  <sheetViews>
    <sheetView workbookViewId="0">
      <selection activeCell="B2" sqref="B2"/>
    </sheetView>
  </sheetViews>
  <sheetFormatPr defaultRowHeight="12.75" x14ac:dyDescent="0.2"/>
  <cols>
    <col min="1" max="1" width="2" style="7" customWidth="1"/>
    <col min="2" max="2" width="21" style="7" customWidth="1"/>
    <col min="3" max="3" width="27.7109375" style="7" customWidth="1"/>
    <col min="4" max="4" width="41.28515625" style="7" customWidth="1"/>
    <col min="5" max="5" width="9.140625" style="7"/>
    <col min="6" max="6" width="13.85546875" style="7" bestFit="1" customWidth="1"/>
    <col min="7" max="16384" width="9.140625" style="7"/>
  </cols>
  <sheetData>
    <row r="1" spans="1:4" ht="12" customHeight="1" thickBot="1" x14ac:dyDescent="0.3">
      <c r="A1" s="6" t="s">
        <v>9</v>
      </c>
    </row>
    <row r="2" spans="1:4" ht="22.5" customHeight="1" thickBot="1" x14ac:dyDescent="0.25">
      <c r="B2" s="8" t="s">
        <v>10</v>
      </c>
    </row>
    <row r="3" spans="1:4" s="9" customFormat="1" ht="46.5" customHeight="1" x14ac:dyDescent="0.25">
      <c r="B3" s="9" t="s">
        <v>11</v>
      </c>
      <c r="C3" t="s">
        <v>12</v>
      </c>
      <c r="D3" s="9" t="s">
        <v>13</v>
      </c>
    </row>
    <row r="4" spans="1:4" x14ac:dyDescent="0.2">
      <c r="B4" s="10" t="s">
        <v>14</v>
      </c>
      <c r="C4" s="7" t="s">
        <v>14</v>
      </c>
      <c r="D4" s="7" t="s">
        <v>15</v>
      </c>
    </row>
    <row r="5" spans="1:4" x14ac:dyDescent="0.2">
      <c r="B5" s="10" t="s">
        <v>16</v>
      </c>
      <c r="C5" s="7" t="s">
        <v>16</v>
      </c>
      <c r="D5" s="7" t="s">
        <v>17</v>
      </c>
    </row>
    <row r="6" spans="1:4" x14ac:dyDescent="0.2">
      <c r="B6" s="10" t="s">
        <v>18</v>
      </c>
      <c r="C6" s="7" t="s">
        <v>18</v>
      </c>
      <c r="D6" s="7" t="s">
        <v>19</v>
      </c>
    </row>
    <row r="7" spans="1:4" x14ac:dyDescent="0.2">
      <c r="B7" s="10" t="s">
        <v>20</v>
      </c>
      <c r="C7" s="7" t="s">
        <v>20</v>
      </c>
      <c r="D7" s="7" t="s">
        <v>21</v>
      </c>
    </row>
    <row r="8" spans="1:4" x14ac:dyDescent="0.2">
      <c r="B8" s="11" t="s">
        <v>11</v>
      </c>
      <c r="C8" s="12" t="s">
        <v>22</v>
      </c>
      <c r="D8" s="12" t="s">
        <v>24</v>
      </c>
    </row>
    <row r="10" spans="1:4" ht="114.75" x14ac:dyDescent="0.2">
      <c r="B10" s="13" t="s">
        <v>23</v>
      </c>
      <c r="C10" s="13"/>
      <c r="D10" s="14" t="s">
        <v>25</v>
      </c>
    </row>
    <row r="11" spans="1:4" x14ac:dyDescent="0.2">
      <c r="B11" s="13" t="s">
        <v>61</v>
      </c>
      <c r="C11" s="13"/>
      <c r="D11" s="14" t="s">
        <v>62</v>
      </c>
    </row>
    <row r="12" spans="1:4" ht="57.75" customHeight="1" x14ac:dyDescent="0.2">
      <c r="B12" s="15" t="s">
        <v>63</v>
      </c>
      <c r="C12" s="16"/>
      <c r="D12" s="16" t="s">
        <v>64</v>
      </c>
    </row>
    <row r="13" spans="1:4" x14ac:dyDescent="0.2">
      <c r="B13" s="15" t="s">
        <v>65</v>
      </c>
      <c r="D13" s="16" t="s">
        <v>66</v>
      </c>
    </row>
    <row r="14" spans="1:4" x14ac:dyDescent="0.2">
      <c r="B14" s="15" t="s">
        <v>67</v>
      </c>
      <c r="D14" s="16" t="s">
        <v>68</v>
      </c>
    </row>
    <row r="15" spans="1:4" x14ac:dyDescent="0.2">
      <c r="B15" s="15" t="s">
        <v>82</v>
      </c>
      <c r="D15" s="18" t="s">
        <v>83</v>
      </c>
    </row>
    <row r="16" spans="1:4" ht="25.5" x14ac:dyDescent="0.2">
      <c r="B16" s="15" t="s">
        <v>86</v>
      </c>
      <c r="D16" s="16" t="s">
        <v>85</v>
      </c>
    </row>
    <row r="17" spans="2:4" x14ac:dyDescent="0.2">
      <c r="B17" s="15"/>
      <c r="D17" s="18"/>
    </row>
    <row r="18" spans="2:4" x14ac:dyDescent="0.2">
      <c r="D18" s="16"/>
    </row>
  </sheetData>
  <hyperlinks>
    <hyperlink ref="B2" location="MessageText!B2" tooltip="Click to start rebuild text in format [title].[lang]" display="Rebuild Text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46"/>
  <sheetViews>
    <sheetView showGridLines="0" workbookViewId="0">
      <selection activeCell="G59" sqref="G59"/>
    </sheetView>
  </sheetViews>
  <sheetFormatPr defaultRowHeight="12.75" x14ac:dyDescent="0.2"/>
  <cols>
    <col min="1" max="1" width="2.7109375" customWidth="1"/>
    <col min="2" max="2" width="3.42578125" customWidth="1"/>
  </cols>
  <sheetData>
    <row r="1" spans="2:3" s="7" customFormat="1" x14ac:dyDescent="0.2"/>
    <row r="2" spans="2:3" ht="20.25" x14ac:dyDescent="0.3">
      <c r="B2" s="21" t="s">
        <v>27</v>
      </c>
    </row>
    <row r="4" spans="2:3" x14ac:dyDescent="0.2">
      <c r="C4" t="s">
        <v>28</v>
      </c>
    </row>
    <row r="24" spans="3:3" x14ac:dyDescent="0.2">
      <c r="C24" t="s">
        <v>29</v>
      </c>
    </row>
    <row r="39" spans="3:3" s="7" customFormat="1" x14ac:dyDescent="0.2"/>
    <row r="40" spans="3:3" s="7" customFormat="1" x14ac:dyDescent="0.2"/>
    <row r="41" spans="3:3" s="7" customFormat="1" x14ac:dyDescent="0.2"/>
    <row r="42" spans="3:3" s="7" customFormat="1" x14ac:dyDescent="0.2"/>
    <row r="43" spans="3:3" s="7" customFormat="1" x14ac:dyDescent="0.2"/>
    <row r="44" spans="3:3" s="7" customFormat="1" x14ac:dyDescent="0.2"/>
    <row r="45" spans="3:3" s="7" customFormat="1" x14ac:dyDescent="0.2">
      <c r="C45" s="7" t="s">
        <v>30</v>
      </c>
    </row>
    <row r="46" spans="3:3" s="7" customFormat="1" x14ac:dyDescent="0.2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Stock Card</vt:lpstr>
      <vt:lpstr>Sales Report 1</vt:lpstr>
      <vt:lpstr>PivotTable1</vt:lpstr>
      <vt:lpstr>Sales Report 2</vt:lpstr>
      <vt:lpstr>PivotTable2</vt:lpstr>
      <vt:lpstr>config</vt:lpstr>
      <vt:lpstr>MessageText</vt:lpstr>
      <vt:lpstr>คู่มือใช้งาน</vt:lpstr>
      <vt:lpstr>'Sales Report 1'!billId</vt:lpstr>
      <vt:lpstr>'Sales Report 2'!billId</vt:lpstr>
      <vt:lpstr>configDB</vt:lpstr>
      <vt:lpstr>'Stock Card'!displayItemId</vt:lpstr>
      <vt:lpstr>'Stock Card'!displayTitle</vt:lpstr>
      <vt:lpstr>'Stock Card'!formItemId</vt:lpstr>
      <vt:lpstr>'Sales Report 1'!formStartDate</vt:lpstr>
      <vt:lpstr>'Sales Report 2'!formStartDate</vt:lpstr>
      <vt:lpstr>'Stock Card'!formStartDate</vt:lpstr>
      <vt:lpstr>'Sales Report 1'!formStopDate</vt:lpstr>
      <vt:lpstr>'Sales Report 2'!formStopDate</vt:lpstr>
      <vt:lpstr>'Stock Card'!formStopDate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Charin</dc:creator>
  <cp:lastModifiedBy>Charin Nawaritloha</cp:lastModifiedBy>
  <cp:lastPrinted>2018-05-20T08:43:51Z</cp:lastPrinted>
  <dcterms:created xsi:type="dcterms:W3CDTF">2012-05-21T09:37:54Z</dcterms:created>
  <dcterms:modified xsi:type="dcterms:W3CDTF">2019-09-04T14:33:37Z</dcterms:modified>
</cp:coreProperties>
</file>